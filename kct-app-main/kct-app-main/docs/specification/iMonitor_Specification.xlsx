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witer/git/i-monitor/im1/document/specification/"/>
    </mc:Choice>
  </mc:AlternateContent>
  <xr:revisionPtr revIDLastSave="0" documentId="13_ncr:1_{4C96F7F7-B8BB-DD49-835F-07B77431BCDB}" xr6:coauthVersionLast="47" xr6:coauthVersionMax="47" xr10:uidLastSave="{00000000-0000-0000-0000-000000000000}"/>
  <bookViews>
    <workbookView xWindow="76800" yWindow="0" windowWidth="38400" windowHeight="21600" activeTab="6" xr2:uid="{309A028C-5E86-8C41-A5BD-5DA35C79F8AA}"/>
  </bookViews>
  <sheets>
    <sheet name="Library" sheetId="6" r:id="rId1"/>
    <sheet name="Service Requirement" sheetId="3" r:id="rId2"/>
    <sheet name="Service List" sheetId="4" r:id="rId3"/>
    <sheet name="API Mapping" sheetId="10" r:id="rId4"/>
    <sheet name="Network" sheetId="8" r:id="rId5"/>
    <sheet name="Node" sheetId="11" r:id="rId6"/>
    <sheet name="Container" sheetId="5" r:id="rId7"/>
    <sheet name="Topic" sheetId="7" r:id="rId8"/>
    <sheet name="Event" sheetId="9" r:id="rId9"/>
    <sheet name="Metrics" sheetId="1" r:id="rId10"/>
    <sheet name="Metrics Tags" sheetId="2" r:id="rId11"/>
    <sheet name="BatchJob" sheetId="12" r:id="rId12"/>
  </sheets>
  <definedNames>
    <definedName name="abstract">'Metrics Tags'!$A$5</definedName>
    <definedName name="class">'Metrics Tags'!$A$4</definedName>
    <definedName name="_xlnm.Print_Area" localSheetId="6">Container!$A:$I</definedName>
    <definedName name="Tag_protocol">'Metrics Tags'!$A$2</definedName>
    <definedName name="Tag_status">'Metrics Tags'!$A$3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5" l="1"/>
  <c r="F3" i="5"/>
  <c r="C3" i="7" a="1"/>
  <c r="C3" i="7" s="1"/>
  <c r="C4" i="7" a="1"/>
  <c r="C4" i="7" s="1"/>
  <c r="C2" i="7" a="1"/>
  <c r="C2" i="7" s="1"/>
  <c r="B3" i="7" a="1"/>
  <c r="B3" i="7" s="1"/>
  <c r="B4" i="7" a="1"/>
  <c r="B4" i="7" s="1"/>
  <c r="B2" i="7" a="1"/>
  <c r="B2" i="7" s="1"/>
  <c r="C3" i="10"/>
  <c r="C2" i="10"/>
  <c r="G19" i="5"/>
  <c r="F19" i="5"/>
  <c r="G18" i="5"/>
  <c r="G17" i="5"/>
  <c r="G16" i="5"/>
  <c r="G9" i="5"/>
  <c r="G6" i="5"/>
  <c r="G5" i="5"/>
  <c r="F22" i="5"/>
  <c r="F23" i="5"/>
  <c r="F24" i="5"/>
  <c r="F25" i="5"/>
  <c r="F26" i="5"/>
  <c r="F27" i="5"/>
  <c r="F28" i="5"/>
  <c r="F21" i="5"/>
  <c r="F18" i="5"/>
  <c r="F17" i="5"/>
  <c r="F16" i="5"/>
  <c r="F14" i="5"/>
  <c r="F13" i="5"/>
  <c r="F9" i="5"/>
  <c r="F10" i="5"/>
  <c r="F8" i="5"/>
  <c r="F6" i="5"/>
  <c r="F5" i="5"/>
  <c r="F4" i="5"/>
  <c r="C8" i="10"/>
  <c r="C6" i="2" a="1"/>
  <c r="C6" i="2" s="1"/>
  <c r="C7" i="2" a="1"/>
  <c r="C7" i="2" s="1"/>
  <c r="C2" i="2" a="1"/>
  <c r="C2" i="2" s="1"/>
  <c r="C3" i="2" a="1"/>
  <c r="C3" i="2" s="1"/>
  <c r="C4" i="2" a="1"/>
  <c r="C4" i="2" s="1"/>
  <c r="C5" i="2" a="1"/>
  <c r="C5" i="2" s="1"/>
  <c r="C5" i="10"/>
  <c r="C6" i="10"/>
  <c r="C7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4" i="10"/>
  <c r="B5" i="7" a="1"/>
  <c r="B5" i="7" s="1"/>
  <c r="C5" i="7" a="1"/>
  <c r="C5" i="7" s="1"/>
  <c r="B6" i="7" a="1"/>
  <c r="B6" i="7" s="1"/>
  <c r="C6" i="7" a="1"/>
  <c r="C6" i="7" s="1"/>
  <c r="B7" i="7" a="1"/>
  <c r="B7" i="7" s="1"/>
  <c r="C7" i="7" a="1"/>
  <c r="C7" i="7" s="1"/>
  <c r="B8" i="7" a="1"/>
  <c r="B8" i="7" s="1"/>
  <c r="C8" i="7" a="1"/>
  <c r="C8" i="7" s="1"/>
  <c r="B9" i="7" a="1"/>
  <c r="B9" i="7" s="1"/>
  <c r="C9" i="7" a="1"/>
  <c r="C9" i="7" s="1"/>
  <c r="B10" i="7" a="1"/>
  <c r="B10" i="7" s="1"/>
  <c r="C10" i="7" a="1"/>
  <c r="C10" i="7" s="1"/>
  <c r="B11" i="7" a="1"/>
  <c r="B11" i="7" s="1"/>
  <c r="C11" i="7" a="1"/>
  <c r="C11" i="7" s="1"/>
  <c r="B12" i="7" a="1"/>
  <c r="B12" i="7" s="1"/>
  <c r="C12" i="7" a="1"/>
  <c r="C12" i="7" s="1"/>
  <c r="B13" i="7" a="1"/>
  <c r="B13" i="7" s="1"/>
  <c r="C13" i="7" a="1"/>
  <c r="C13" i="7" s="1"/>
  <c r="B14" i="7" a="1"/>
  <c r="B14" i="7" s="1"/>
  <c r="C14" i="7" a="1"/>
  <c r="C14" i="7" s="1"/>
  <c r="B15" i="7" a="1"/>
  <c r="B15" i="7" s="1"/>
  <c r="C15" i="7" a="1"/>
  <c r="C15" i="7" s="1"/>
  <c r="B16" i="7" a="1"/>
  <c r="B16" i="7" s="1"/>
  <c r="C16" i="7" a="1"/>
  <c r="C16" i="7" s="1"/>
  <c r="B17" i="7" a="1"/>
  <c r="B17" i="7" s="1"/>
  <c r="C17" i="7" a="1"/>
  <c r="C17" i="7" s="1"/>
  <c r="B18" i="7" a="1"/>
  <c r="B18" i="7" s="1"/>
  <c r="C18" i="7" a="1"/>
  <c r="C18" i="7" s="1"/>
  <c r="B19" i="7" a="1"/>
  <c r="B19" i="7" s="1"/>
  <c r="C19" i="7" a="1"/>
  <c r="C19" i="7" s="1"/>
  <c r="B20" i="7" a="1"/>
  <c r="B20" i="7" s="1"/>
  <c r="C20" i="7" a="1"/>
  <c r="C20" i="7" s="1"/>
  <c r="B21" i="7" a="1"/>
  <c r="B21" i="7" s="1"/>
  <c r="C21" i="7" a="1"/>
  <c r="C21" i="7" s="1"/>
  <c r="B22" i="7" a="1"/>
  <c r="B22" i="7" s="1"/>
  <c r="C22" i="7" a="1"/>
  <c r="C22" i="7" s="1"/>
  <c r="B23" i="7" a="1"/>
  <c r="B23" i="7" s="1"/>
  <c r="C23" i="7" a="1"/>
  <c r="C23" i="7" s="1"/>
  <c r="B24" i="7" a="1"/>
  <c r="B24" i="7" s="1"/>
  <c r="C24" i="7" a="1"/>
  <c r="C24" i="7" s="1"/>
  <c r="B25" i="7" a="1"/>
  <c r="B25" i="7" s="1"/>
  <c r="C25" i="7" a="1"/>
  <c r="C25" i="7" s="1"/>
  <c r="B26" i="7" a="1"/>
  <c r="B26" i="7" s="1"/>
  <c r="C26" i="7" a="1"/>
  <c r="C26" i="7" s="1"/>
  <c r="B27" i="7" a="1"/>
  <c r="B27" i="7" s="1"/>
  <c r="C27" i="7" a="1"/>
  <c r="C27" i="7" s="1"/>
  <c r="B28" i="7" a="1"/>
  <c r="B28" i="7" s="1"/>
  <c r="C28" i="7" a="1"/>
  <c r="C28" i="7" s="1"/>
  <c r="B29" i="7" a="1"/>
  <c r="B29" i="7" s="1"/>
  <c r="C29" i="7" a="1"/>
  <c r="C29" i="7" s="1"/>
  <c r="B30" i="7" a="1"/>
  <c r="B30" i="7" s="1"/>
  <c r="C30" i="7" a="1"/>
  <c r="C30" i="7" s="1"/>
  <c r="B31" i="7" a="1"/>
  <c r="B31" i="7" s="1"/>
  <c r="C31" i="7" a="1"/>
  <c r="C31" i="7" s="1"/>
  <c r="B32" i="7" a="1"/>
  <c r="B32" i="7" s="1"/>
  <c r="C32" i="7" a="1"/>
  <c r="C32" i="7" s="1"/>
  <c r="B33" i="7" a="1"/>
  <c r="B33" i="7" s="1"/>
  <c r="C33" i="7" a="1"/>
  <c r="C33" i="7" s="1"/>
  <c r="B34" i="7" a="1"/>
  <c r="B34" i="7" s="1"/>
  <c r="C34" i="7" a="1"/>
  <c r="C34" i="7" s="1"/>
  <c r="B35" i="7" a="1"/>
  <c r="B35" i="7" s="1"/>
  <c r="C35" i="7" a="1"/>
  <c r="C35" i="7" s="1"/>
  <c r="B36" i="7" a="1"/>
  <c r="B36" i="7" s="1"/>
  <c r="C36" i="7" a="1"/>
  <c r="C36" i="7" s="1"/>
  <c r="B37" i="7" a="1"/>
  <c r="B37" i="7" s="1"/>
  <c r="C37" i="7" a="1"/>
  <c r="C37" i="7" s="1"/>
  <c r="B38" i="7" a="1"/>
  <c r="B38" i="7" s="1"/>
  <c r="C38" i="7" a="1"/>
  <c r="C38" i="7" s="1"/>
  <c r="B39" i="7" a="1"/>
  <c r="B39" i="7" s="1"/>
  <c r="C39" i="7" a="1"/>
  <c r="C39" i="7" s="1"/>
  <c r="B40" i="7" a="1"/>
  <c r="B40" i="7" s="1"/>
  <c r="C40" i="7" a="1"/>
  <c r="C40" i="7" s="1"/>
  <c r="B41" i="7" a="1"/>
  <c r="B41" i="7" s="1"/>
  <c r="C41" i="7" a="1"/>
  <c r="C41" i="7" s="1"/>
  <c r="B42" i="7" a="1"/>
  <c r="B42" i="7" s="1"/>
  <c r="C42" i="7" a="1"/>
  <c r="C42" i="7" s="1"/>
  <c r="B43" i="7" a="1"/>
  <c r="B43" i="7" s="1"/>
  <c r="C43" i="7" a="1"/>
  <c r="C43" i="7" s="1"/>
  <c r="B44" i="7" a="1"/>
  <c r="B44" i="7" s="1"/>
  <c r="C44" i="7" a="1"/>
  <c r="C44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<sst xmlns="http://schemas.openxmlformats.org/spreadsheetml/2006/main" count="523" uniqueCount="393">
  <si>
    <t>name</t>
    <phoneticPr fontId="2" type="noConversion"/>
  </si>
  <si>
    <t>Metric name</t>
    <phoneticPr fontId="2" type="noConversion"/>
  </si>
  <si>
    <t>Tags</t>
    <phoneticPr fontId="2" type="noConversion"/>
  </si>
  <si>
    <t>protocol</t>
    <phoneticPr fontId="2" type="noConversion"/>
  </si>
  <si>
    <t>status</t>
    <phoneticPr fontId="2" type="noConversion"/>
  </si>
  <si>
    <t>Service</t>
    <phoneticPr fontId="2" type="noConversion"/>
  </si>
  <si>
    <t>Description</t>
    <phoneticPr fontId="2" type="noConversion"/>
  </si>
  <si>
    <t>Name</t>
    <phoneticPr fontId="2" type="noConversion"/>
  </si>
  <si>
    <t>- 사용된 Protocol Name</t>
    <phoneticPr fontId="2" type="noConversion"/>
  </si>
  <si>
    <t>Metic</t>
    <phoneticPr fontId="2" type="noConversion"/>
  </si>
  <si>
    <t>- Operatoin 수행 결과 
  + ok : 정상 
  + timeout : 시간 초과 
  + unknown : 알 수 없음</t>
    <phoneticPr fontId="2" type="noConversion"/>
  </si>
  <si>
    <t>- Access Point</t>
    <phoneticPr fontId="2" type="noConversion"/>
  </si>
  <si>
    <t>- 지정된 target에 전송되는 request package count</t>
    <phoneticPr fontId="2" type="noConversion"/>
  </si>
  <si>
    <t>- 지정된 target에서 수신되는 response package count</t>
    <phoneticPr fontId="2" type="noConversion"/>
  </si>
  <si>
    <t>- 수신된 Trap/Event package count</t>
    <phoneticPr fontId="2" type="noConversion"/>
  </si>
  <si>
    <t>im.target.request</t>
    <phoneticPr fontId="2" type="noConversion"/>
  </si>
  <si>
    <t>im.target.response</t>
    <phoneticPr fontId="2" type="noConversion"/>
  </si>
  <si>
    <t>im.receive.trap</t>
    <phoneticPr fontId="2" type="noConversion"/>
  </si>
  <si>
    <t>class</t>
    <phoneticPr fontId="2" type="noConversion"/>
  </si>
  <si>
    <t>- 수신된 모든 message count</t>
    <phoneticPr fontId="2" type="noConversion"/>
  </si>
  <si>
    <t>M/O</t>
    <phoneticPr fontId="2" type="noConversion"/>
  </si>
  <si>
    <t>요구사항</t>
    <phoneticPr fontId="2" type="noConversion"/>
  </si>
  <si>
    <t>대상</t>
    <phoneticPr fontId="2" type="noConversion"/>
  </si>
  <si>
    <t>비고</t>
    <phoneticPr fontId="2" type="noConversion"/>
  </si>
  <si>
    <t>Idx</t>
    <phoneticPr fontId="2" type="noConversion"/>
  </si>
  <si>
    <t>- Prometheus metric를 지원해야 한다
  + path : /meter/promethus
  + metric name prfix : im_</t>
    <phoneticPr fontId="2" type="noConversion"/>
  </si>
  <si>
    <t>모든 서비스</t>
    <phoneticPr fontId="2" type="noConversion"/>
  </si>
  <si>
    <t>필수</t>
    <phoneticPr fontId="2" type="noConversion"/>
  </si>
  <si>
    <t>Access Point</t>
    <phoneticPr fontId="2" type="noConversion"/>
  </si>
  <si>
    <t xml:space="preserve">- 지정된 protocol 로 End Node 의 정보 수집 
- End Node 에서 전송되는 Trap/Event 수신 </t>
    <phoneticPr fontId="2" type="noConversion"/>
  </si>
  <si>
    <t>Access Point Logger</t>
    <phoneticPr fontId="2" type="noConversion"/>
  </si>
  <si>
    <t>- Access Point 의 수행 결과 저장 (RequestInfo , TrapInfo)</t>
    <phoneticPr fontId="2" type="noConversion"/>
  </si>
  <si>
    <t>ap</t>
    <phoneticPr fontId="2" type="noConversion"/>
  </si>
  <si>
    <t>apl</t>
    <phoneticPr fontId="2" type="noConversion"/>
  </si>
  <si>
    <t>Type</t>
    <phoneticPr fontId="2" type="noConversion"/>
  </si>
  <si>
    <t>im</t>
    <phoneticPr fontId="2" type="noConversion"/>
  </si>
  <si>
    <t>mq</t>
    <phoneticPr fontId="2" type="noConversion"/>
  </si>
  <si>
    <t>Message Queue</t>
    <phoneticPr fontId="2" type="noConversion"/>
  </si>
  <si>
    <t>Repository</t>
    <phoneticPr fontId="2" type="noConversion"/>
  </si>
  <si>
    <t>- redis</t>
    <phoneticPr fontId="2" type="noConversion"/>
  </si>
  <si>
    <t>- mongodb</t>
    <phoneticPr fontId="2" type="noConversion"/>
  </si>
  <si>
    <t>Topic</t>
    <phoneticPr fontId="2" type="noConversion"/>
  </si>
  <si>
    <t>kafka</t>
    <phoneticPr fontId="2" type="noConversion"/>
  </si>
  <si>
    <t>Container Group</t>
    <phoneticPr fontId="2" type="noConversion"/>
  </si>
  <si>
    <t>Container Name</t>
    <phoneticPr fontId="2" type="noConversion"/>
  </si>
  <si>
    <t>Image</t>
    <phoneticPr fontId="2" type="noConversion"/>
  </si>
  <si>
    <t>Remark</t>
    <phoneticPr fontId="2" type="noConversion"/>
  </si>
  <si>
    <t>apl-db</t>
    <phoneticPr fontId="2" type="noConversion"/>
  </si>
  <si>
    <t>Dependencies</t>
    <phoneticPr fontId="2" type="noConversion"/>
  </si>
  <si>
    <t>bitnami/kafka:4.0</t>
    <phoneticPr fontId="2" type="noConversion"/>
  </si>
  <si>
    <t>kafka-ui</t>
    <phoneticPr fontId="2" type="noConversion"/>
  </si>
  <si>
    <t>provectuslabs/kafka-ui:latest</t>
    <phoneticPr fontId="2" type="noConversion"/>
  </si>
  <si>
    <t>Ports</t>
    <phoneticPr fontId="2" type="noConversion"/>
  </si>
  <si>
    <t>- kafka</t>
    <phoneticPr fontId="2" type="noConversion"/>
  </si>
  <si>
    <t>perfm</t>
    <phoneticPr fontId="2" type="noConversion"/>
  </si>
  <si>
    <t>prometheus</t>
  </si>
  <si>
    <t>grafana</t>
    <phoneticPr fontId="2" type="noConversion"/>
  </si>
  <si>
    <t>prometheus</t>
    <phoneticPr fontId="2" type="noConversion"/>
  </si>
  <si>
    <t>Prometheus</t>
    <phoneticPr fontId="2" type="noConversion"/>
  </si>
  <si>
    <t>- Prometheus Server</t>
    <phoneticPr fontId="2" type="noConversion"/>
  </si>
  <si>
    <t>Grafana</t>
    <phoneticPr fontId="2" type="noConversion"/>
  </si>
  <si>
    <t>- Grafana Server</t>
    <phoneticPr fontId="2" type="noConversion"/>
  </si>
  <si>
    <t>trace</t>
    <phoneticPr fontId="2" type="noConversion"/>
  </si>
  <si>
    <t>zipkin</t>
    <phoneticPr fontId="2" type="noConversion"/>
  </si>
  <si>
    <t>dependencies</t>
    <phoneticPr fontId="2" type="noConversion"/>
  </si>
  <si>
    <t>description</t>
    <phoneticPr fontId="2" type="noConversion"/>
  </si>
  <si>
    <t>3rd DB : 20xxx</t>
    <phoneticPr fontId="2" type="noConversion"/>
  </si>
  <si>
    <t>Port export mapping rules</t>
    <phoneticPr fontId="2" type="noConversion"/>
  </si>
  <si>
    <t>3rd UI : 22xxx</t>
    <phoneticPr fontId="2" type="noConversion"/>
  </si>
  <si>
    <t>iM DB : 10xxx</t>
    <phoneticPr fontId="2" type="noConversion"/>
  </si>
  <si>
    <t>Number</t>
    <phoneticPr fontId="2" type="noConversion"/>
  </si>
  <si>
    <t>3rd</t>
    <phoneticPr fontId="2" type="noConversion"/>
  </si>
  <si>
    <t>- Kafka Message Queue</t>
    <phoneticPr fontId="2" type="noConversion"/>
  </si>
  <si>
    <t>Zipkin</t>
    <phoneticPr fontId="2" type="noConversion"/>
  </si>
  <si>
    <t>- Zipkin Server</t>
    <phoneticPr fontId="2" type="noConversion"/>
  </si>
  <si>
    <t>- mysql</t>
    <phoneticPr fontId="2" type="noConversion"/>
  </si>
  <si>
    <t>3rd Service : 21xxx</t>
    <phoneticPr fontId="2" type="noConversion"/>
  </si>
  <si>
    <t>iM UI : 12xxx</t>
    <phoneticPr fontId="2" type="noConversion"/>
  </si>
  <si>
    <t>iM Service : 11xxx</t>
    <phoneticPr fontId="2" type="noConversion"/>
  </si>
  <si>
    <t>ap-db</t>
    <phoneticPr fontId="2" type="noConversion"/>
  </si>
  <si>
    <t>redis:latest</t>
    <phoneticPr fontId="2" type="noConversion"/>
  </si>
  <si>
    <t>group</t>
    <phoneticPr fontId="2" type="noConversion"/>
  </si>
  <si>
    <t>com.icomm</t>
    <phoneticPr fontId="2" type="noConversion"/>
  </si>
  <si>
    <t>com.icomm.im</t>
    <phoneticPr fontId="2" type="noConversion"/>
  </si>
  <si>
    <t>access-control</t>
    <phoneticPr fontId="2" type="noConversion"/>
  </si>
  <si>
    <t>common</t>
    <phoneticPr fontId="2" type="noConversion"/>
  </si>
  <si>
    <t>data-object</t>
    <phoneticPr fontId="2" type="noConversion"/>
  </si>
  <si>
    <t>pageable-object</t>
    <phoneticPr fontId="2" type="noConversion"/>
  </si>
  <si>
    <t>- Access Control 가능한 Data Object 를 위한 annotation 및 utility</t>
    <phoneticPr fontId="2" type="noConversion"/>
  </si>
  <si>
    <t xml:space="preserve">- Exception, Session 및 Message Helper </t>
    <phoneticPr fontId="2" type="noConversion"/>
  </si>
  <si>
    <t>- i-Monitor에서 사용되는 Data Object 모음</t>
    <phoneticPr fontId="2" type="noConversion"/>
  </si>
  <si>
    <t>mom</t>
    <phoneticPr fontId="2" type="noConversion"/>
  </si>
  <si>
    <t>Managed Object Manager</t>
    <phoneticPr fontId="2" type="noConversion"/>
  </si>
  <si>
    <t>- 관리대상 (MO) 관리 서비스 (Inventory scan, Instance management)</t>
    <phoneticPr fontId="2" type="noConversion"/>
  </si>
  <si>
    <t>- Class Name (Short Name)
- Object Type 정보 제공</t>
    <phoneticPr fontId="2" type="noConversion"/>
  </si>
  <si>
    <t>- postgresql</t>
    <phoneticPr fontId="2" type="noConversion"/>
  </si>
  <si>
    <t>mom-db</t>
    <phoneticPr fontId="2" type="noConversion"/>
  </si>
  <si>
    <t>im.receive.message</t>
    <phoneticPr fontId="2" type="noConversion"/>
  </si>
  <si>
    <t>ApTopic</t>
    <phoneticPr fontId="2" type="noConversion"/>
  </si>
  <si>
    <t>- Event Topic</t>
    <phoneticPr fontId="2" type="noConversion"/>
  </si>
  <si>
    <t>- Access Point Notification Topic</t>
    <phoneticPr fontId="2" type="noConversion"/>
  </si>
  <si>
    <t>Topic Group</t>
    <phoneticPr fontId="2" type="noConversion"/>
  </si>
  <si>
    <t>Topic Publisher</t>
    <phoneticPr fontId="2" type="noConversion"/>
  </si>
  <si>
    <t>- ApTopic</t>
    <phoneticPr fontId="2" type="noConversion"/>
  </si>
  <si>
    <t>- ap-logger</t>
    <phoneticPr fontId="2" type="noConversion"/>
  </si>
  <si>
    <t>- mo-manager</t>
    <phoneticPr fontId="2" type="noConversion"/>
  </si>
  <si>
    <r>
      <t xml:space="preserve">- </t>
    </r>
    <r>
      <rPr>
        <sz val="12"/>
        <color theme="6"/>
        <rFont val="맑은 고딕"/>
        <family val="3"/>
        <charset val="129"/>
      </rPr>
      <t>com.icomm:</t>
    </r>
    <r>
      <rPr>
        <sz val="12"/>
        <color theme="1"/>
        <rFont val="맑은 고딕"/>
        <family val="2"/>
        <charset val="129"/>
        <scheme val="minor"/>
      </rPr>
      <t xml:space="preserve">access-control
- </t>
    </r>
    <r>
      <rPr>
        <sz val="12"/>
        <color theme="6"/>
        <rFont val="맑은 고딕"/>
        <family val="3"/>
        <charset val="129"/>
      </rPr>
      <t>com.icomm.im:</t>
    </r>
    <r>
      <rPr>
        <sz val="12"/>
        <color theme="1"/>
        <rFont val="맑은 고딕"/>
        <family val="2"/>
        <charset val="129"/>
        <scheme val="minor"/>
      </rPr>
      <t xml:space="preserve">common
- </t>
    </r>
    <r>
      <rPr>
        <sz val="12"/>
        <color theme="6"/>
        <rFont val="맑은 고딕"/>
        <family val="3"/>
        <charset val="129"/>
      </rPr>
      <t>com.icomm.im:</t>
    </r>
    <r>
      <rPr>
        <sz val="12"/>
        <color theme="1"/>
        <rFont val="맑은 고딕"/>
        <family val="2"/>
        <charset val="129"/>
        <scheme val="minor"/>
      </rPr>
      <t xml:space="preserve">data-object
- </t>
    </r>
    <r>
      <rPr>
        <sz val="12"/>
        <color rgb="FFC00000"/>
        <rFont val="맑은 고딕"/>
        <family val="3"/>
        <charset val="129"/>
      </rPr>
      <t>org.springframework.boot:</t>
    </r>
    <r>
      <rPr>
        <sz val="12"/>
        <color theme="1"/>
        <rFont val="맑은 고딕"/>
        <family val="2"/>
        <charset val="129"/>
        <scheme val="minor"/>
      </rPr>
      <t xml:space="preserve">spring-boot-starter-security
- </t>
    </r>
    <r>
      <rPr>
        <sz val="12"/>
        <color rgb="FFC00000"/>
        <rFont val="맑은 고딕"/>
        <family val="3"/>
        <charset val="129"/>
      </rPr>
      <t>org.springframework.boot:</t>
    </r>
    <r>
      <rPr>
        <sz val="12"/>
        <color theme="1"/>
        <rFont val="맑은 고딕"/>
        <family val="2"/>
        <charset val="129"/>
        <scheme val="minor"/>
      </rPr>
      <t xml:space="preserve">spring-boot-starter-aop
- </t>
    </r>
    <r>
      <rPr>
        <sz val="12"/>
        <color rgb="FFC00000"/>
        <rFont val="맑은 고딕"/>
        <family val="3"/>
        <charset val="129"/>
      </rPr>
      <t>org.springdoc:</t>
    </r>
    <r>
      <rPr>
        <sz val="12"/>
        <color theme="1"/>
        <rFont val="맑은 고딕"/>
        <family val="2"/>
        <charset val="129"/>
        <scheme val="minor"/>
      </rPr>
      <t>springdoc-openapi-starter-webflux-ui</t>
    </r>
    <phoneticPr fontId="2" type="noConversion"/>
  </si>
  <si>
    <t>entity-base</t>
    <phoneticPr fontId="2" type="noConversion"/>
  </si>
  <si>
    <r>
      <t xml:space="preserve">- Page request를 위한 Pageable Data Object 모음
- Spring 관련 기능을 사용해야 하는 Data Object 모음
- @ComponentScan 시 "com.icomm.im.aop" 을 추가해야 한다 
  + ex) </t>
    </r>
    <r>
      <rPr>
        <sz val="12"/>
        <color rgb="FFC00000"/>
        <rFont val="D2Coding"/>
        <family val="2"/>
        <charset val="129"/>
      </rPr>
      <t>@SpringBootApplication(scanBasePackages = "com.icomm.im")</t>
    </r>
    <r>
      <rPr>
        <sz val="12"/>
        <color rgb="FFC00000"/>
        <rFont val="맑은 고딕"/>
        <family val="2"/>
        <charset val="129"/>
        <scheme val="minor"/>
      </rPr>
      <t xml:space="preserve">
</t>
    </r>
    <phoneticPr fontId="2" type="noConversion"/>
  </si>
  <si>
    <r>
      <t>- @EntityLoad 지원
- IdEntity, BaseEntity 지원</t>
    </r>
    <r>
      <rPr>
        <sz val="12"/>
        <color rgb="FFC00000"/>
        <rFont val="맑은 고딕"/>
        <family val="2"/>
        <charset val="129"/>
        <scheme val="minor"/>
      </rPr>
      <t xml:space="preserve">
</t>
    </r>
    <phoneticPr fontId="2" type="noConversion"/>
  </si>
  <si>
    <r>
      <t xml:space="preserve">- </t>
    </r>
    <r>
      <rPr>
        <sz val="12"/>
        <color theme="6"/>
        <rFont val="맑은 고딕"/>
        <family val="3"/>
        <charset val="129"/>
      </rPr>
      <t>com.icomm:</t>
    </r>
    <r>
      <rPr>
        <sz val="12"/>
        <color theme="1"/>
        <rFont val="맑은 고딕"/>
        <family val="2"/>
        <charset val="129"/>
        <scheme val="minor"/>
      </rPr>
      <t xml:space="preserve">access-control
- </t>
    </r>
    <r>
      <rPr>
        <sz val="12"/>
        <color theme="6"/>
        <rFont val="맑은 고딕"/>
        <family val="3"/>
        <charset val="129"/>
      </rPr>
      <t>com.icomm:</t>
    </r>
    <r>
      <rPr>
        <sz val="12"/>
        <color theme="1"/>
        <rFont val="맑은 고딕"/>
        <family val="2"/>
        <charset val="129"/>
        <scheme val="minor"/>
      </rPr>
      <t xml:space="preserve">spec-util
- </t>
    </r>
    <r>
      <rPr>
        <sz val="12"/>
        <color theme="6"/>
        <rFont val="맑은 고딕"/>
        <family val="3"/>
        <charset val="129"/>
      </rPr>
      <t>com.icomm.im:</t>
    </r>
    <r>
      <rPr>
        <sz val="12"/>
        <color theme="1"/>
        <rFont val="맑은 고딕"/>
        <family val="2"/>
        <charset val="129"/>
        <scheme val="minor"/>
      </rPr>
      <t xml:space="preserve">common
- </t>
    </r>
    <r>
      <rPr>
        <sz val="12"/>
        <color theme="6"/>
        <rFont val="맑은 고딕"/>
        <family val="3"/>
        <charset val="129"/>
      </rPr>
      <t>com.icomm.im:</t>
    </r>
    <r>
      <rPr>
        <sz val="12"/>
        <color theme="1"/>
        <rFont val="맑은 고딕"/>
        <family val="2"/>
        <charset val="129"/>
      </rPr>
      <t>pageable-object</t>
    </r>
    <r>
      <rPr>
        <sz val="12"/>
        <color theme="1"/>
        <rFont val="맑은 고딕"/>
        <family val="2"/>
        <charset val="129"/>
        <scheme val="minor"/>
      </rPr>
      <t xml:space="preserve">
- </t>
    </r>
    <r>
      <rPr>
        <sz val="12"/>
        <color rgb="FFC00000"/>
        <rFont val="맑은 고딕"/>
        <family val="3"/>
        <charset val="129"/>
      </rPr>
      <t>org.springframework.boot:</t>
    </r>
    <r>
      <rPr>
        <sz val="12"/>
        <color theme="1"/>
        <rFont val="맑은 고딕"/>
        <family val="2"/>
        <charset val="129"/>
        <scheme val="minor"/>
      </rPr>
      <t xml:space="preserve">spring-boot-starter-security
- </t>
    </r>
    <r>
      <rPr>
        <sz val="12"/>
        <color rgb="FFC00000"/>
        <rFont val="맑은 고딕"/>
        <family val="3"/>
        <charset val="129"/>
      </rPr>
      <t>org.springframework.boot:</t>
    </r>
    <r>
      <rPr>
        <sz val="12"/>
        <color theme="1"/>
        <rFont val="맑은 고딕"/>
        <family val="2"/>
        <charset val="129"/>
        <scheme val="minor"/>
      </rPr>
      <t xml:space="preserve">spring-boot-starter-validation
- </t>
    </r>
    <r>
      <rPr>
        <sz val="12"/>
        <color rgb="FFC00000"/>
        <rFont val="맑은 고딕"/>
        <family val="3"/>
        <charset val="129"/>
      </rPr>
      <t>org.springframework.boot:</t>
    </r>
    <r>
      <rPr>
        <sz val="12"/>
        <color theme="1"/>
        <rFont val="맑은 고딕"/>
        <family val="2"/>
        <charset val="129"/>
        <scheme val="minor"/>
      </rPr>
      <t xml:space="preserve">spring-boot-starter-json
- </t>
    </r>
    <r>
      <rPr>
        <sz val="12"/>
        <color rgb="FFC00000"/>
        <rFont val="맑은 고딕"/>
        <family val="3"/>
        <charset val="129"/>
      </rPr>
      <t>org.springframework.boot:</t>
    </r>
    <r>
      <rPr>
        <sz val="12"/>
        <color theme="1"/>
        <rFont val="맑은 고딕"/>
        <family val="2"/>
        <charset val="129"/>
        <scheme val="minor"/>
      </rPr>
      <t xml:space="preserve">spring-boot-starter-data-jpa
- </t>
    </r>
    <r>
      <rPr>
        <sz val="12"/>
        <color rgb="FFC00000"/>
        <rFont val="맑은 고딕"/>
        <family val="3"/>
        <charset val="129"/>
      </rPr>
      <t>org.springframework.boot:</t>
    </r>
    <r>
      <rPr>
        <sz val="12"/>
        <color theme="1"/>
        <rFont val="맑은 고딕"/>
        <family val="2"/>
        <charset val="129"/>
        <scheme val="minor"/>
      </rPr>
      <t>spring-boot-starter-aop</t>
    </r>
    <phoneticPr fontId="2" type="noConversion"/>
  </si>
  <si>
    <t>version</t>
    <phoneticPr fontId="2" type="noConversion"/>
  </si>
  <si>
    <t>0.1.4</t>
    <phoneticPr fontId="2" type="noConversion"/>
  </si>
  <si>
    <t>0.0.1-SNAPSHOT</t>
    <phoneticPr fontId="2" type="noConversion"/>
  </si>
  <si>
    <t>spec-util</t>
    <phoneticPr fontId="2" type="noConversion"/>
  </si>
  <si>
    <t>-JPA Specification을 이용한 Query 지원</t>
    <phoneticPr fontId="2" type="noConversion"/>
  </si>
  <si>
    <t>0.4.1</t>
    <phoneticPr fontId="2" type="noConversion"/>
  </si>
  <si>
    <t>im.object.instance</t>
    <phoneticPr fontId="2" type="noConversion"/>
  </si>
  <si>
    <t>- Managed Object Manager</t>
    <phoneticPr fontId="2" type="noConversion"/>
  </si>
  <si>
    <t>abstract</t>
    <phoneticPr fontId="2" type="noConversion"/>
  </si>
  <si>
    <t>- Abstract Class 여부
  + true : abstract class
  + false : concreate class</t>
    <phoneticPr fontId="2" type="noConversion"/>
  </si>
  <si>
    <t>- class type 의 instance 수 
  + abstract = true : 하위 모든 type의 instance count
  + abstract = false : 해당 type의 instance count</t>
    <phoneticPr fontId="2" type="noConversion"/>
  </si>
  <si>
    <t>- Opentelemetry trace 기능 사용</t>
    <phoneticPr fontId="2" type="noConversion"/>
  </si>
  <si>
    <t>traceable</t>
    <phoneticPr fontId="2" type="noConversion"/>
  </si>
  <si>
    <t>EventTopic</t>
    <phoneticPr fontId="2" type="noConversion"/>
  </si>
  <si>
    <t>- EventTopic</t>
    <phoneticPr fontId="2" type="noConversion"/>
  </si>
  <si>
    <t>trace-server</t>
    <phoneticPr fontId="2" type="noConversion"/>
  </si>
  <si>
    <t>jaegertracing/all-in-one:latest</t>
    <phoneticPr fontId="2" type="noConversion"/>
  </si>
  <si>
    <t>jaeger</t>
    <phoneticPr fontId="2" type="noConversion"/>
  </si>
  <si>
    <t>Jaeger</t>
    <phoneticPr fontId="2" type="noConversion"/>
  </si>
  <si>
    <t>16686
4317</t>
    <phoneticPr fontId="2" type="noConversion"/>
  </si>
  <si>
    <t>- Jaeger Server &amp; UI</t>
    <phoneticPr fontId="2" type="noConversion"/>
  </si>
  <si>
    <t>trace-storage</t>
    <phoneticPr fontId="2" type="noConversion"/>
  </si>
  <si>
    <t>- trace-storage</t>
    <phoneticPr fontId="2" type="noConversion"/>
  </si>
  <si>
    <t>elasticsearch:9.0.2</t>
    <phoneticPr fontId="2" type="noConversion"/>
  </si>
  <si>
    <r>
      <t xml:space="preserve">- </t>
    </r>
    <r>
      <rPr>
        <sz val="12"/>
        <color theme="6"/>
        <rFont val="맑은 고딕"/>
        <family val="3"/>
        <charset val="129"/>
      </rPr>
      <t>com.icomm.im:</t>
    </r>
    <r>
      <rPr>
        <sz val="12"/>
        <color theme="1"/>
        <rFont val="맑은 고딕"/>
        <family val="2"/>
        <charset val="129"/>
        <scheme val="minor"/>
      </rPr>
      <t xml:space="preserve">data-object
- </t>
    </r>
    <r>
      <rPr>
        <sz val="12"/>
        <color rgb="FFC00000"/>
        <rFont val="맑은 고딕"/>
        <family val="3"/>
        <charset val="129"/>
      </rPr>
      <t>org.springframework.boot</t>
    </r>
    <r>
      <rPr>
        <sz val="12"/>
        <color theme="1"/>
        <rFont val="맑은 고딕"/>
        <family val="2"/>
        <charset val="129"/>
        <scheme val="minor"/>
      </rPr>
      <t xml:space="preserve">:spring-boot-starter-webflux
- </t>
    </r>
    <r>
      <rPr>
        <sz val="12"/>
        <color rgb="FFC00000"/>
        <rFont val="맑은 고딕"/>
        <family val="3"/>
        <charset val="129"/>
      </rPr>
      <t>org.springframework.boot:</t>
    </r>
    <r>
      <rPr>
        <sz val="12"/>
        <color theme="1"/>
        <rFont val="맑은 고딕"/>
        <family val="2"/>
        <charset val="129"/>
        <scheme val="minor"/>
      </rPr>
      <t xml:space="preserve">spring-boot-starter-aop
- </t>
    </r>
    <r>
      <rPr>
        <sz val="12"/>
        <color rgb="FFC00000"/>
        <rFont val="맑은 고딕"/>
        <family val="2"/>
        <charset val="129"/>
      </rPr>
      <t>io.opentelemetry</t>
    </r>
    <r>
      <rPr>
        <sz val="12"/>
        <color theme="1"/>
        <rFont val="맑은 고딕"/>
        <family val="2"/>
        <charset val="129"/>
        <scheme val="minor"/>
      </rPr>
      <t>:opentelemetry-exporter-otlp</t>
    </r>
    <phoneticPr fontId="2" type="noConversion"/>
  </si>
  <si>
    <r>
      <t xml:space="preserve">- </t>
    </r>
    <r>
      <rPr>
        <sz val="12"/>
        <color theme="6"/>
        <rFont val="맑은 고딕"/>
        <family val="3"/>
        <charset val="129"/>
      </rPr>
      <t>com.icomm:</t>
    </r>
    <r>
      <rPr>
        <sz val="12"/>
        <color theme="1"/>
        <rFont val="맑은 고딕"/>
        <family val="2"/>
        <charset val="129"/>
        <scheme val="minor"/>
      </rPr>
      <t xml:space="preserve">access-control
- </t>
    </r>
    <r>
      <rPr>
        <sz val="12"/>
        <color rgb="FFC00000"/>
        <rFont val="맑은 고딕"/>
        <family val="3"/>
        <charset val="129"/>
      </rPr>
      <t>org.springframework.boot</t>
    </r>
    <r>
      <rPr>
        <sz val="12"/>
        <color theme="1"/>
        <rFont val="맑은 고딕"/>
        <family val="2"/>
        <charset val="129"/>
        <scheme val="minor"/>
      </rPr>
      <t xml:space="preserve">:spring-boot-starter-security
- </t>
    </r>
    <r>
      <rPr>
        <sz val="12"/>
        <color rgb="FFC00000"/>
        <rFont val="맑은 고딕"/>
        <family val="3"/>
        <charset val="129"/>
      </rPr>
      <t>org.springframework.boot</t>
    </r>
    <r>
      <rPr>
        <sz val="12"/>
        <color theme="1"/>
        <rFont val="맑은 고딕"/>
        <family val="2"/>
        <charset val="129"/>
        <scheme val="minor"/>
      </rPr>
      <t>:spring-boot-starter-webflux</t>
    </r>
    <phoneticPr fontId="2" type="noConversion"/>
  </si>
  <si>
    <t>idx</t>
    <phoneticPr fontId="2" type="noConversion"/>
  </si>
  <si>
    <t>Global Index Generator</t>
    <phoneticPr fontId="2" type="noConversion"/>
  </si>
  <si>
    <t>- 서비스 전체에 대해 Unique 한 Index를 생성한다(순차 증가)</t>
    <phoneticPr fontId="2" type="noConversion"/>
  </si>
  <si>
    <t>Category</t>
    <phoneticPr fontId="2" type="noConversion"/>
  </si>
  <si>
    <t>Condition</t>
    <phoneticPr fontId="2" type="noConversion"/>
  </si>
  <si>
    <t>Side-Effect</t>
    <phoneticPr fontId="2" type="noConversion"/>
  </si>
  <si>
    <t>NewInstance</t>
    <phoneticPr fontId="2" type="noConversion"/>
  </si>
  <si>
    <t>- 새로운 Object instance 생성</t>
    <phoneticPr fontId="2" type="noConversion"/>
  </si>
  <si>
    <t>Consumer</t>
    <phoneticPr fontId="2" type="noConversion"/>
  </si>
  <si>
    <t>Publisher</t>
    <phoneticPr fontId="2" type="noConversion"/>
  </si>
  <si>
    <t>DeleteInstance</t>
    <phoneticPr fontId="2" type="noConversion"/>
  </si>
  <si>
    <t>- 기존 Object instace 삭제</t>
    <phoneticPr fontId="2" type="noConversion"/>
  </si>
  <si>
    <t>- 기존 Object instace를 삭제했을 때</t>
    <phoneticPr fontId="2" type="noConversion"/>
  </si>
  <si>
    <t>- 새로운 Object instance가 생성되었을 때</t>
    <phoneticPr fontId="2" type="noConversion"/>
  </si>
  <si>
    <t>Information Publisher</t>
    <phoneticPr fontId="2" type="noConversion"/>
  </si>
  <si>
    <t>Event Analyzer</t>
    <phoneticPr fontId="2" type="noConversion"/>
  </si>
  <si>
    <t>- Instance 신규 생성 Alert 발생</t>
    <phoneticPr fontId="2" type="noConversion"/>
  </si>
  <si>
    <t>- Instance 삭제 Alert 발생</t>
    <phoneticPr fontId="2" type="noConversion"/>
  </si>
  <si>
    <t>NotiTopic</t>
    <phoneticPr fontId="2" type="noConversion"/>
  </si>
  <si>
    <t>- Broadcast Notification Topic
  + 모든 서비스에 전달하기 위한 Notification 
  + 모든 Consumer 들은 Topic group을 가지지 않는다</t>
    <phoneticPr fontId="2" type="noConversion"/>
  </si>
  <si>
    <t>Topic Comsumer</t>
    <phoneticPr fontId="2" type="noConversion"/>
  </si>
  <si>
    <t>lb</t>
    <phoneticPr fontId="2" type="noConversion"/>
  </si>
  <si>
    <t>Load Balancer</t>
    <phoneticPr fontId="2" type="noConversion"/>
  </si>
  <si>
    <t>- 부하 관리 및 Health check를 위한 eureka server</t>
    <phoneticPr fontId="2" type="noConversion"/>
  </si>
  <si>
    <t>- Load Balancer 01</t>
    <phoneticPr fontId="2" type="noConversion"/>
  </si>
  <si>
    <t>- Load Balancer 02</t>
    <phoneticPr fontId="2" type="noConversion"/>
  </si>
  <si>
    <t>gw</t>
    <phoneticPr fontId="2" type="noConversion"/>
  </si>
  <si>
    <t>API Gateway</t>
    <phoneticPr fontId="2" type="noConversion"/>
  </si>
  <si>
    <t>- API Gateway</t>
    <phoneticPr fontId="2" type="noConversion"/>
  </si>
  <si>
    <t>API Group</t>
    <phoneticPr fontId="2" type="noConversion"/>
  </si>
  <si>
    <t>global</t>
    <phoneticPr fontId="2" type="noConversion"/>
  </si>
  <si>
    <t>/global/idx/**</t>
    <phoneticPr fontId="2" type="noConversion"/>
  </si>
  <si>
    <t>API URL</t>
    <phoneticPr fontId="2" type="noConversion"/>
  </si>
  <si>
    <t>Rewrite Rule</t>
    <phoneticPr fontId="2" type="noConversion"/>
  </si>
  <si>
    <r>
      <rPr>
        <sz val="12"/>
        <color rgb="FFC00000"/>
        <rFont val="D2Coding"/>
        <family val="2"/>
        <charset val="129"/>
      </rPr>
      <t>/global/idx/?(?&lt;path&gt;.*)</t>
    </r>
    <r>
      <rPr>
        <sz val="12"/>
        <color theme="1"/>
        <rFont val="맑은 고딕"/>
        <family val="2"/>
        <charset val="129"/>
        <scheme val="minor"/>
      </rPr>
      <t xml:space="preserve">, </t>
    </r>
    <r>
      <rPr>
        <sz val="12"/>
        <color rgb="FF0070C0"/>
        <rFont val="D2Coding"/>
        <family val="2"/>
        <charset val="129"/>
      </rPr>
      <t>/api/v1/$\{path}</t>
    </r>
    <phoneticPr fontId="2" type="noConversion"/>
  </si>
  <si>
    <t>core</t>
    <phoneticPr fontId="2" type="noConversion"/>
  </si>
  <si>
    <t>Service Name</t>
    <phoneticPr fontId="2" type="noConversion"/>
  </si>
  <si>
    <t>Full Name</t>
    <phoneticPr fontId="2" type="noConversion"/>
  </si>
  <si>
    <t>logger</t>
    <phoneticPr fontId="2" type="noConversion"/>
  </si>
  <si>
    <t>/core/ap/**</t>
    <phoneticPr fontId="2" type="noConversion"/>
  </si>
  <si>
    <t>/core/mom/**</t>
    <phoneticPr fontId="2" type="noConversion"/>
  </si>
  <si>
    <t>/logger/apl/**</t>
    <phoneticPr fontId="2" type="noConversion"/>
  </si>
  <si>
    <r>
      <rPr>
        <sz val="12"/>
        <color rgb="FFC00000"/>
        <rFont val="D2Coding"/>
        <family val="2"/>
        <charset val="129"/>
      </rPr>
      <t>/core/ap/?(?&lt;path&gt;.*)</t>
    </r>
    <r>
      <rPr>
        <sz val="12"/>
        <color theme="1"/>
        <rFont val="맑은 고딕"/>
        <family val="2"/>
        <charset val="129"/>
        <scheme val="minor"/>
      </rPr>
      <t xml:space="preserve">, </t>
    </r>
    <r>
      <rPr>
        <sz val="12"/>
        <color rgb="FF0070C0"/>
        <rFont val="D2Coding"/>
        <family val="2"/>
        <charset val="129"/>
      </rPr>
      <t>/api/v1/$\{path}</t>
    </r>
    <phoneticPr fontId="2" type="noConversion"/>
  </si>
  <si>
    <r>
      <rPr>
        <sz val="12"/>
        <color rgb="FFC00000"/>
        <rFont val="D2Coding"/>
        <family val="2"/>
        <charset val="129"/>
      </rPr>
      <t>/core/mom/?(?&lt;path&gt;.*)</t>
    </r>
    <r>
      <rPr>
        <sz val="12"/>
        <color theme="1"/>
        <rFont val="맑은 고딕"/>
        <family val="2"/>
        <charset val="129"/>
        <scheme val="minor"/>
      </rPr>
      <t xml:space="preserve">, </t>
    </r>
    <r>
      <rPr>
        <sz val="12"/>
        <color rgb="FF0070C0"/>
        <rFont val="D2Coding"/>
        <family val="2"/>
        <charset val="129"/>
      </rPr>
      <t>/api/v1/$\{path}</t>
    </r>
    <phoneticPr fontId="2" type="noConversion"/>
  </si>
  <si>
    <r>
      <rPr>
        <sz val="12"/>
        <color rgb="FFC00000"/>
        <rFont val="D2Coding"/>
        <family val="2"/>
        <charset val="129"/>
      </rPr>
      <t>/logger/apl/?(?&lt;path&gt;.*)</t>
    </r>
    <r>
      <rPr>
        <sz val="12"/>
        <color theme="1"/>
        <rFont val="맑은 고딕"/>
        <family val="2"/>
        <charset val="129"/>
        <scheme val="minor"/>
      </rPr>
      <t xml:space="preserve">, </t>
    </r>
    <r>
      <rPr>
        <sz val="12"/>
        <color rgb="FF0070C0"/>
        <rFont val="D2Coding"/>
        <family val="2"/>
        <charset val="129"/>
      </rPr>
      <t>/api/v1/$\{path}</t>
    </r>
    <phoneticPr fontId="2" type="noConversion"/>
  </si>
  <si>
    <t>- Global Indexer 01</t>
    <phoneticPr fontId="2" type="noConversion"/>
  </si>
  <si>
    <t>- Global Indexer 02</t>
    <phoneticPr fontId="2" type="noConversion"/>
  </si>
  <si>
    <t>- Access Point Logger 01</t>
    <phoneticPr fontId="2" type="noConversion"/>
  </si>
  <si>
    <t>- docker inside port 9092</t>
    <phoneticPr fontId="2" type="noConversion"/>
  </si>
  <si>
    <t>loki</t>
    <phoneticPr fontId="2" type="noConversion"/>
  </si>
  <si>
    <t>Loki</t>
    <phoneticPr fontId="2" type="noConversion"/>
  </si>
  <si>
    <t>- Grafana Loki</t>
    <phoneticPr fontId="2" type="noConversion"/>
  </si>
  <si>
    <t>- 3100 http, 9096 grpc</t>
    <phoneticPr fontId="2" type="noConversion"/>
  </si>
  <si>
    <t>Promtail</t>
    <phoneticPr fontId="2" type="noConversion"/>
  </si>
  <si>
    <t>- Grafana Promtail</t>
    <phoneticPr fontId="2" type="noConversion"/>
  </si>
  <si>
    <t>la</t>
    <phoneticPr fontId="2" type="noConversion"/>
  </si>
  <si>
    <t>grafana/promtail:5.3</t>
    <phoneticPr fontId="2" type="noConversion"/>
  </si>
  <si>
    <t>grafana/loki:5.3</t>
    <phoneticPr fontId="2" type="noConversion"/>
  </si>
  <si>
    <t>prom/prometheus:v2.53.5</t>
    <phoneticPr fontId="2" type="noConversion"/>
  </si>
  <si>
    <t>grafana/grafana:12.0.2</t>
    <phoneticPr fontId="2" type="noConversion"/>
  </si>
  <si>
    <t>la-01</t>
    <phoneticPr fontId="2" type="noConversion"/>
  </si>
  <si>
    <t>- 4317 : gRPC
- 8888 : metric management
- 16686 : serve frontent</t>
    <phoneticPr fontId="2" type="noConversion"/>
  </si>
  <si>
    <t>Node ID</t>
    <phoneticPr fontId="2" type="noConversion"/>
  </si>
  <si>
    <t>01</t>
    <phoneticPr fontId="2" type="noConversion"/>
  </si>
  <si>
    <t>- dev3 개발 서버</t>
    <phoneticPr fontId="2" type="noConversion"/>
  </si>
  <si>
    <t>remove_old_data.sh</t>
    <phoneticPr fontId="2" type="noConversion"/>
  </si>
  <si>
    <t>- 14일이 지난 Jaeger data 삭제</t>
    <phoneticPr fontId="2" type="noConversion"/>
  </si>
  <si>
    <t>deployment/perfm/script</t>
    <phoneticPr fontId="2" type="noConversion"/>
  </si>
  <si>
    <t>delete_prometheus_data.sh</t>
    <phoneticPr fontId="2" type="noConversion"/>
  </si>
  <si>
    <t xml:space="preserve"> 60일이 지난 prometheus data 삭제</t>
    <phoneticPr fontId="2" type="noConversion"/>
  </si>
  <si>
    <t>deployment/trace/script</t>
    <phoneticPr fontId="2" type="noConversion"/>
  </si>
  <si>
    <t>el</t>
    <phoneticPr fontId="2" type="noConversion"/>
  </si>
  <si>
    <t>Event Logger</t>
    <phoneticPr fontId="2" type="noConversion"/>
  </si>
  <si>
    <t>- Event 저장</t>
    <phoneticPr fontId="2" type="noConversion"/>
  </si>
  <si>
    <t>el-db</t>
    <phoneticPr fontId="2" type="noConversion"/>
  </si>
  <si>
    <t>- event-logger</t>
    <phoneticPr fontId="2" type="noConversion"/>
  </si>
  <si>
    <t>category</t>
    <phoneticPr fontId="2" type="noConversion"/>
  </si>
  <si>
    <t>- Data Category</t>
    <phoneticPr fontId="2" type="noConversion"/>
  </si>
  <si>
    <t>type</t>
    <phoneticPr fontId="2" type="noConversion"/>
  </si>
  <si>
    <t>- Data Type</t>
    <phoneticPr fontId="2" type="noConversion"/>
  </si>
  <si>
    <t>- Access Point Logger
- Managed Object Manager
- Event Logger</t>
    <phoneticPr fontId="2" type="noConversion"/>
  </si>
  <si>
    <t>/logger/el/**</t>
    <phoneticPr fontId="2" type="noConversion"/>
  </si>
  <si>
    <r>
      <rPr>
        <sz val="12"/>
        <color rgb="FFC00000"/>
        <rFont val="D2Coding"/>
        <family val="2"/>
        <charset val="129"/>
      </rPr>
      <t>/logger/el/?(?&lt;path&gt;.*)</t>
    </r>
    <r>
      <rPr>
        <sz val="12"/>
        <color theme="1"/>
        <rFont val="맑은 고딕"/>
        <family val="2"/>
        <charset val="129"/>
        <scheme val="minor"/>
      </rPr>
      <t xml:space="preserve">, </t>
    </r>
    <r>
      <rPr>
        <sz val="12"/>
        <color rgb="FF0070C0"/>
        <rFont val="D2Coding"/>
        <family val="2"/>
        <charset val="129"/>
      </rPr>
      <t>/api/v1/$\{path}</t>
    </r>
    <phoneticPr fontId="2" type="noConversion"/>
  </si>
  <si>
    <t>ea</t>
    <phoneticPr fontId="2" type="noConversion"/>
  </si>
  <si>
    <t>- AlertTopic</t>
    <phoneticPr fontId="2" type="noConversion"/>
  </si>
  <si>
    <t>- event-alanyzer</t>
    <phoneticPr fontId="2" type="noConversion"/>
  </si>
  <si>
    <t>- Event 분석 후 필요할 경우 Alert 발생</t>
    <phoneticPr fontId="2" type="noConversion"/>
  </si>
  <si>
    <t>- EventTopic
- AlertTopic</t>
    <phoneticPr fontId="2" type="noConversion"/>
  </si>
  <si>
    <t>mm</t>
    <phoneticPr fontId="2" type="noConversion"/>
  </si>
  <si>
    <t>Metric Manager</t>
    <phoneticPr fontId="2" type="noConversion"/>
  </si>
  <si>
    <t>- metric-manager</t>
    <phoneticPr fontId="2" type="noConversion"/>
  </si>
  <si>
    <t>al</t>
    <phoneticPr fontId="2" type="noConversion"/>
  </si>
  <si>
    <t>Alert Logger</t>
    <phoneticPr fontId="2" type="noConversion"/>
  </si>
  <si>
    <t>- alert-manager</t>
    <phoneticPr fontId="2" type="noConversion"/>
  </si>
  <si>
    <t>- Alert 저장</t>
    <phoneticPr fontId="2" type="noConversion"/>
  </si>
  <si>
    <t>rc</t>
    <phoneticPr fontId="2" type="noConversion"/>
  </si>
  <si>
    <t>Request Controller</t>
    <phoneticPr fontId="2" type="noConversion"/>
  </si>
  <si>
    <t>- request-controller</t>
    <phoneticPr fontId="2" type="noConversion"/>
  </si>
  <si>
    <t>- 통계 정보 생성 및 저장</t>
    <phoneticPr fontId="2" type="noConversion"/>
  </si>
  <si>
    <t>- 외부 요청 정보 처리</t>
    <phoneticPr fontId="2" type="noConversion"/>
  </si>
  <si>
    <t>ip</t>
    <phoneticPr fontId="2" type="noConversion"/>
  </si>
  <si>
    <t>- publisher</t>
    <phoneticPr fontId="2" type="noConversion"/>
  </si>
  <si>
    <t>- Event &amp; Alert 전달 (mail, SMS 등)</t>
    <phoneticPr fontId="2" type="noConversion"/>
  </si>
  <si>
    <t>Authentication &amp; Authorization</t>
    <phoneticPr fontId="2" type="noConversion"/>
  </si>
  <si>
    <t>- 인증 및 권한 관리</t>
    <phoneticPr fontId="2" type="noConversion"/>
  </si>
  <si>
    <t>gs</t>
    <phoneticPr fontId="2" type="noConversion"/>
  </si>
  <si>
    <t>Global Scheduler</t>
    <phoneticPr fontId="2" type="noConversion"/>
  </si>
  <si>
    <t>- Scheduler</t>
    <phoneticPr fontId="2" type="noConversion"/>
  </si>
  <si>
    <t>- Logger Block 을 위한 예비</t>
    <phoneticPr fontId="2" type="noConversion"/>
  </si>
  <si>
    <t>- Core Block 을 위한 예비</t>
    <phoneticPr fontId="2" type="noConversion"/>
  </si>
  <si>
    <t>idx-db</t>
    <phoneticPr fontId="2" type="noConversion"/>
  </si>
  <si>
    <t>- 10031:5432</t>
    <phoneticPr fontId="2" type="noConversion"/>
  </si>
  <si>
    <t>Port Mapping</t>
    <phoneticPr fontId="2" type="noConversion"/>
  </si>
  <si>
    <t>Port</t>
    <phoneticPr fontId="2" type="noConversion"/>
  </si>
  <si>
    <t>- 11031:9103</t>
    <phoneticPr fontId="2" type="noConversion"/>
  </si>
  <si>
    <t>- 11032:9103</t>
    <phoneticPr fontId="2" type="noConversion"/>
  </si>
  <si>
    <t>- 11101:9111</t>
    <phoneticPr fontId="2" type="noConversion"/>
  </si>
  <si>
    <t>- 10201:6379</t>
    <phoneticPr fontId="2" type="noConversion"/>
  </si>
  <si>
    <t>- 10211:5432</t>
    <phoneticPr fontId="2" type="noConversion"/>
  </si>
  <si>
    <t>- 11501:8080</t>
    <phoneticPr fontId="2" type="noConversion"/>
  </si>
  <si>
    <t>- 11511:8761</t>
    <phoneticPr fontId="2" type="noConversion"/>
  </si>
  <si>
    <t>- 11512:8761</t>
    <phoneticPr fontId="2" type="noConversion"/>
  </si>
  <si>
    <t>- 22611:8080</t>
    <phoneticPr fontId="2" type="noConversion"/>
  </si>
  <si>
    <t>- 21621:9090</t>
    <phoneticPr fontId="2" type="noConversion"/>
  </si>
  <si>
    <t>- 21631:3000</t>
    <phoneticPr fontId="2" type="noConversion"/>
  </si>
  <si>
    <t>promtail</t>
    <phoneticPr fontId="2" type="noConversion"/>
  </si>
  <si>
    <t>- 21632:3100
- 21633:9096</t>
    <phoneticPr fontId="2" type="noConversion"/>
  </si>
  <si>
    <t>- 21641:9080</t>
    <phoneticPr fontId="2" type="noConversion"/>
  </si>
  <si>
    <t>- 20661:9200
- 20662:9300</t>
    <phoneticPr fontId="2" type="noConversion"/>
  </si>
  <si>
    <t>- 21661:16686
- 21662:4317
- 21663:8888</t>
    <phoneticPr fontId="2" type="noConversion"/>
  </si>
  <si>
    <t>- 11513:8761</t>
    <phoneticPr fontId="2" type="noConversion"/>
  </si>
  <si>
    <t>- Load Balancer 03</t>
    <phoneticPr fontId="2" type="noConversion"/>
  </si>
  <si>
    <t>- 21611:21611</t>
    <phoneticPr fontId="2" type="noConversion"/>
  </si>
  <si>
    <t>auth</t>
    <phoneticPr fontId="2" type="noConversion"/>
  </si>
  <si>
    <t>/global/auth/**</t>
    <phoneticPr fontId="2" type="noConversion"/>
  </si>
  <si>
    <r>
      <rPr>
        <sz val="12"/>
        <color rgb="FFC00000"/>
        <rFont val="D2Coding"/>
        <family val="2"/>
        <charset val="129"/>
      </rPr>
      <t>/global/auth/?(?&lt;path&gt;.*)</t>
    </r>
    <r>
      <rPr>
        <sz val="12"/>
        <color theme="1"/>
        <rFont val="맑은 고딕"/>
        <family val="2"/>
        <charset val="129"/>
        <scheme val="minor"/>
      </rPr>
      <t xml:space="preserve">, </t>
    </r>
    <r>
      <rPr>
        <sz val="12"/>
        <color rgb="FF0070C0"/>
        <rFont val="D2Coding"/>
        <family val="2"/>
        <charset val="129"/>
      </rPr>
      <t>/api/v1/$\{path}</t>
    </r>
    <phoneticPr fontId="2" type="noConversion"/>
  </si>
  <si>
    <t>/global/gs/**</t>
    <phoneticPr fontId="2" type="noConversion"/>
  </si>
  <si>
    <r>
      <rPr>
        <sz val="12"/>
        <color rgb="FFC00000"/>
        <rFont val="D2Coding"/>
        <family val="2"/>
        <charset val="129"/>
      </rPr>
      <t>/global/gs/?(?&lt;path&gt;.*)</t>
    </r>
    <r>
      <rPr>
        <sz val="12"/>
        <color theme="1"/>
        <rFont val="맑은 고딕"/>
        <family val="2"/>
        <charset val="129"/>
        <scheme val="minor"/>
      </rPr>
      <t xml:space="preserve">, </t>
    </r>
    <r>
      <rPr>
        <sz val="12"/>
        <color rgb="FF0070C0"/>
        <rFont val="D2Coding"/>
        <family val="2"/>
        <charset val="129"/>
      </rPr>
      <t>/api/v1/$\{path}</t>
    </r>
    <phoneticPr fontId="2" type="noConversion"/>
  </si>
  <si>
    <t>Swam Network</t>
    <phoneticPr fontId="2" type="noConversion"/>
  </si>
  <si>
    <t>- Discovery Client를 지원해야 한다. 
  + Project iM 에서 생성하는 Service는 모두 Discovery Client로 동작 (Load Balancer 제외)</t>
    <phoneticPr fontId="2" type="noConversion"/>
  </si>
  <si>
    <t>- Logging
  + docker container를 사용할 경우 /opt/im/logs 디렉토리에 log 생성</t>
    <phoneticPr fontId="2" type="noConversion"/>
  </si>
  <si>
    <t>Project iM 서비스</t>
    <phoneticPr fontId="2" type="noConversion"/>
  </si>
  <si>
    <t>postgresql:latest</t>
    <phoneticPr fontId="2" type="noConversion"/>
  </si>
  <si>
    <t>join token 확인</t>
    <phoneticPr fontId="2" type="noConversion"/>
  </si>
  <si>
    <t>Port 사용</t>
    <phoneticPr fontId="2" type="noConversion"/>
  </si>
  <si>
    <r>
      <t>2377/tcp</t>
    </r>
    <r>
      <rPr>
        <sz val="12"/>
        <color rgb="FF35373A"/>
        <rFont val="맑은 고딕"/>
        <family val="2"/>
        <charset val="129"/>
        <scheme val="minor"/>
      </rPr>
      <t> : 클러스터 관리에 사용되는 포트다.</t>
    </r>
  </si>
  <si>
    <r>
      <t>7946/tcp</t>
    </r>
    <r>
      <rPr>
        <sz val="12"/>
        <color rgb="FF35373A"/>
        <rFont val="맑은 고딕"/>
        <family val="2"/>
        <charset val="129"/>
        <scheme val="minor"/>
      </rPr>
      <t>, </t>
    </r>
    <r>
      <rPr>
        <sz val="12"/>
        <color rgb="FF15171A"/>
        <rFont val="맑은 고딕"/>
        <family val="2"/>
        <charset val="129"/>
        <scheme val="minor"/>
      </rPr>
      <t>7946/udp</t>
    </r>
    <r>
      <rPr>
        <sz val="12"/>
        <color rgb="FF35373A"/>
        <rFont val="맑은 고딕"/>
        <family val="2"/>
        <charset val="129"/>
        <scheme val="minor"/>
      </rPr>
      <t> : 노드 간 통신에 사용된다.</t>
    </r>
  </si>
  <si>
    <r>
      <t>4789/udp</t>
    </r>
    <r>
      <rPr>
        <sz val="12"/>
        <color rgb="FF35373A"/>
        <rFont val="맑은 고딕"/>
        <family val="2"/>
        <charset val="129"/>
        <scheme val="minor"/>
      </rPr>
      <t> : 클러스터에서 사용되는 Ingress 오버레이 네트워크 트래픽에 사용된다.</t>
    </r>
  </si>
  <si>
    <t>Node 구성</t>
    <phoneticPr fontId="2" type="noConversion"/>
  </si>
  <si>
    <t>Manager</t>
    <phoneticPr fontId="2" type="noConversion"/>
  </si>
  <si>
    <t>Worker</t>
    <phoneticPr fontId="2" type="noConversion"/>
  </si>
  <si>
    <t>- 1st Manager : 192.168.50.204 (dev3) - Node 01</t>
    <phoneticPr fontId="2" type="noConversion"/>
  </si>
  <si>
    <t>- 2nd Manager : 192.168.50.202 (dev2) - Node 02</t>
    <phoneticPr fontId="2" type="noConversion"/>
  </si>
  <si>
    <t>- dev2 개발 서버</t>
    <phoneticPr fontId="2" type="noConversion"/>
  </si>
  <si>
    <t>02</t>
    <phoneticPr fontId="2" type="noConversion"/>
  </si>
  <si>
    <t>- 1st Manager</t>
    <phoneticPr fontId="2" type="noConversion"/>
  </si>
  <si>
    <t>- 2nd Manager</t>
    <phoneticPr fontId="2" type="noConversion"/>
  </si>
  <si>
    <t>- 1st Worker</t>
    <phoneticPr fontId="2" type="noConversion"/>
  </si>
  <si>
    <t>master manager node 생성 (01)</t>
    <phoneticPr fontId="2" type="noConversion"/>
  </si>
  <si>
    <t>- firewall 에 의해 blocking 되고 있기 때문에 port 추가 필요</t>
    <phoneticPr fontId="2" type="noConversion"/>
  </si>
  <si>
    <t>$ sudo firewall-cmd --reload</t>
    <phoneticPr fontId="2" type="noConversion"/>
  </si>
  <si>
    <t>$ sudo firewall-cmd --add-port={2377/tcp,2377/tcp,7946/udp,4789/udp} --permanent</t>
    <phoneticPr fontId="2" type="noConversion"/>
  </si>
  <si>
    <t>- manager node join</t>
    <phoneticPr fontId="2" type="noConversion"/>
  </si>
  <si>
    <t>$ docker swarm join-token worker</t>
    <phoneticPr fontId="2" type="noConversion"/>
  </si>
  <si>
    <t>To add a worker to this swarm, run the following command:</t>
    <phoneticPr fontId="2" type="noConversion"/>
  </si>
  <si>
    <t>$ docker swarm join-token manager</t>
    <phoneticPr fontId="2" type="noConversion"/>
  </si>
  <si>
    <t>To add a manager to this swarm, run the following command:</t>
    <phoneticPr fontId="2" type="noConversion"/>
  </si>
  <si>
    <t>$ docker swarm join --token SWMTKN-1-0sg2aee1v0c1mi25nqot563c4psfvimmmvyyha6rlsiae2ypw8-2nauuw8hjvgv57ki2m2y2jyya 192.168.50.204:2377</t>
    <phoneticPr fontId="2" type="noConversion"/>
  </si>
  <si>
    <t>This node joined a swarm as a manager.</t>
    <phoneticPr fontId="2" type="noConversion"/>
  </si>
  <si>
    <t>worker node join (91)</t>
    <phoneticPr fontId="2" type="noConversion"/>
  </si>
  <si>
    <t>This node joined a swarm as a worker.</t>
    <phoneticPr fontId="2" type="noConversion"/>
  </si>
  <si>
    <t>$ docker swarm join --token SWMTKN-1-0sg2aee1v0c1mi25nqot563c4psfvimmmvyyha6rlsiae2ypw8-emchtfrx8tpoy7nnau2qgu80d 192.168.50.204:2377</t>
    <phoneticPr fontId="2" type="noConversion"/>
  </si>
  <si>
    <t>create im networ (01)</t>
    <phoneticPr fontId="2" type="noConversion"/>
  </si>
  <si>
    <t>$ docker network create -d overlay im-net</t>
    <phoneticPr fontId="2" type="noConversion"/>
  </si>
  <si>
    <t>- 10111:5432</t>
    <phoneticPr fontId="2" type="noConversion"/>
  </si>
  <si>
    <t>- 10101:5432</t>
    <phoneticPr fontId="2" type="noConversion"/>
  </si>
  <si>
    <t>- 11111:9112</t>
    <phoneticPr fontId="2" type="noConversion"/>
  </si>
  <si>
    <t>ImService</t>
    <phoneticPr fontId="2" type="noConversion"/>
  </si>
  <si>
    <t>RegisterService</t>
    <phoneticPr fontId="2" type="noConversion"/>
  </si>
  <si>
    <t>- Service 등록</t>
    <phoneticPr fontId="2" type="noConversion"/>
  </si>
  <si>
    <t>- ImService 가 Load Balancer 에 등록될 때</t>
    <phoneticPr fontId="2" type="noConversion"/>
  </si>
  <si>
    <t>UnregisterService</t>
    <phoneticPr fontId="2" type="noConversion"/>
  </si>
  <si>
    <t>- Service 등록 해지</t>
    <phoneticPr fontId="2" type="noConversion"/>
  </si>
  <si>
    <t>- ImService 가 Load Balancer 에서 등록 해지될 때</t>
    <phoneticPr fontId="2" type="noConversion"/>
  </si>
  <si>
    <t>Asset</t>
    <phoneticPr fontId="2" type="noConversion"/>
  </si>
  <si>
    <t>- Load Balancer</t>
    <phoneticPr fontId="2" type="noConversion"/>
  </si>
  <si>
    <t>swarm node 정보 확인</t>
    <phoneticPr fontId="2" type="noConversion"/>
  </si>
  <si>
    <t>$ docker node ls</t>
    <phoneticPr fontId="2" type="noConversion"/>
  </si>
  <si>
    <t>ID                            HOSTNAME          STATUS    AVAILABILITY   MANAGER STATUS   ENGINE VERSION</t>
  </si>
  <si>
    <t>frgc2giwsds1lqim5okr2abj1     docker-desktop    Ready     Active                          28.3.2</t>
  </si>
  <si>
    <t>uogqsmvb5km8stszkvgy1uvrx *   icomm-dev-03      Ready     Active         Leader           27.5.0</t>
  </si>
  <si>
    <t>q19msx19c155iqlb1ajgln680     icomm-server-02   Ready     Active         Reachable        20.10.17</t>
  </si>
  <si>
    <t>swarm node set labels</t>
    <phoneticPr fontId="2" type="noConversion"/>
  </si>
  <si>
    <t>service</t>
    <phoneticPr fontId="2" type="noConversion"/>
  </si>
  <si>
    <t>dev</t>
    <phoneticPr fontId="2" type="noConversion"/>
  </si>
  <si>
    <t>dev3</t>
    <phoneticPr fontId="2" type="noConversion"/>
  </si>
  <si>
    <t>dev2</t>
    <phoneticPr fontId="2" type="noConversion"/>
  </si>
  <si>
    <t>cho</t>
    <phoneticPr fontId="2" type="noConversion"/>
  </si>
  <si>
    <t>$ docker network ls</t>
  </si>
  <si>
    <t>NETWORK ID     NAME                  DRIVER    SCOPE</t>
  </si>
  <si>
    <t>kzgb40vidar3   im-net                overlay   swarm</t>
  </si>
  <si>
    <t>1n0n65xgel0s   ingress               overlay   swarm</t>
  </si>
  <si>
    <t>$ docker node update --label-add name=dev2 --label-add type=service icomm-server-02</t>
    <phoneticPr fontId="2" type="noConversion"/>
  </si>
  <si>
    <t>$ docker node update --label-add name=dev3 --label-add type=service --label-add storage=true icomm-dev-03</t>
    <phoneticPr fontId="2" type="noConversion"/>
  </si>
  <si>
    <t>$ docker stack deploy --with-registry-auth -c docker-compose.yml --detach=true im</t>
    <phoneticPr fontId="2" type="noConversion"/>
  </si>
  <si>
    <t>MacOS</t>
    <phoneticPr fontId="2" type="noConversion"/>
  </si>
  <si>
    <t>- Mac용 Docker Swarm 의 경우 overlay network 사용이 안됨 (https://github.com/moby/swarmkit/issues/1146#issuecomment-231412874)</t>
    <phoneticPr fontId="2" type="noConversion"/>
  </si>
  <si>
    <t>- 1st Worker : 192.168.50.201 (dev1) - Node 03</t>
    <phoneticPr fontId="2" type="noConversion"/>
  </si>
  <si>
    <t>$ docker swarm leave</t>
    <phoneticPr fontId="2" type="noConversion"/>
  </si>
  <si>
    <t>worker node 를 swarm node에서 제거할 때</t>
    <phoneticPr fontId="2" type="noConversion"/>
  </si>
  <si>
    <t>$ docker node update --label-add name=dev1 --label-add type=service icomm-dev-01</t>
    <phoneticPr fontId="2" type="noConversion"/>
  </si>
  <si>
    <t>방화벽 rule 추가</t>
    <phoneticPr fontId="2" type="noConversion"/>
  </si>
  <si>
    <t>docker stack ps 시 shutdown history 수를 1로 제한</t>
    <phoneticPr fontId="2" type="noConversion"/>
  </si>
  <si>
    <t>$ docker swarm update --task-history-limit 1</t>
    <phoneticPr fontId="2" type="noConversion"/>
  </si>
  <si>
    <t>docker swarm 용 management UI 설치</t>
    <phoneticPr fontId="2" type="noConversion"/>
  </si>
  <si>
    <t xml:space="preserve">  --name swarmpit-installer \</t>
  </si>
  <si>
    <t xml:space="preserve">  --volume /var/run/docker.sock:/var/run/docker.sock \</t>
  </si>
  <si>
    <t xml:space="preserve">  swarmpit/install:1.9</t>
  </si>
  <si>
    <t>$ docker run -it --rm \</t>
    <phoneticPr fontId="2" type="noConversion"/>
  </si>
  <si>
    <t>- dev1 개발 서버</t>
    <phoneticPr fontId="2" type="noConversion"/>
  </si>
  <si>
    <t>dev1</t>
    <phoneticPr fontId="2" type="noConversion"/>
  </si>
  <si>
    <t>Storage</t>
    <phoneticPr fontId="2" type="noConversion"/>
  </si>
  <si>
    <t>true</t>
    <phoneticPr fontId="2" type="noConversion"/>
  </si>
  <si>
    <t>03</t>
    <phoneticPr fontId="2" type="noConversion"/>
  </si>
  <si>
    <t>command</t>
    <phoneticPr fontId="2" type="noConversion"/>
  </si>
  <si>
    <t>order</t>
    <phoneticPr fontId="2" type="noConversion"/>
  </si>
  <si>
    <t>deployment swampit</t>
    <phoneticPr fontId="2" type="noConversion"/>
  </si>
  <si>
    <t>$ docker stack deploy -c docker-compose.yml --detach=true swarmpit</t>
    <phoneticPr fontId="2" type="noConversion"/>
  </si>
  <si>
    <t>deployment i-Monitor Service</t>
    <phoneticPr fontId="2" type="noConversion"/>
  </si>
  <si>
    <t>$ cd deployment/swarmpit</t>
    <phoneticPr fontId="2" type="noConversion"/>
  </si>
  <si>
    <t>- Cho 개발 PC</t>
    <phoneticPr fontId="2" type="noConversion"/>
  </si>
  <si>
    <t>- 조규석 개발 PC</t>
    <phoneticPr fontId="2" type="noConversion"/>
  </si>
  <si>
    <t>worker node join (dev1)</t>
    <phoneticPr fontId="2" type="noConversion"/>
  </si>
  <si>
    <t>2nd manager  node join (dev2)</t>
    <phoneticPr fontId="2" type="noConversion"/>
  </si>
  <si>
    <t>$ firewall-cmd --permanent --add-rich-rule='rule family="ipv4" source address="192.168.50.0/24" accept'</t>
    <phoneticPr fontId="2" type="noConversion"/>
  </si>
  <si>
    <t>docker login</t>
    <phoneticPr fontId="2" type="noConversion"/>
  </si>
  <si>
    <t>$ docker login nexus.i-commtech.com</t>
    <phoneticPr fontId="2" type="noConversion"/>
  </si>
  <si>
    <t>$ docker swarm init --advertise-addr 192.168.50.204</t>
    <phoneticPr fontId="2" type="noConversion"/>
  </si>
  <si>
    <t>- worker node join</t>
    <phoneticPr fontId="2" type="noConversion"/>
  </si>
  <si>
    <t>$ firewall-cmd --permanent --add-rich-rule='rule family="ipv4" source address="127.0.0.1" accept'</t>
    <phoneticPr fontId="2" type="noConversion"/>
  </si>
  <si>
    <t xml:space="preserve">    docker swarm join --token SWMTKN-1-01xwpzmufsygtc2qvjcik2dhet5foa3jafwnnq9mpu5vmks2ft-3gmihjjkiriza5vv5ktyhjuef 192.168.50.204:2377</t>
    <phoneticPr fontId="2" type="noConversion"/>
  </si>
  <si>
    <t xml:space="preserve">    docker swarm join --token SWMTKN-1-01xwpzmufsygtc2qvjcik2dhet5foa3jafwnnq9mpu5vmks2ft-ayw9add46rcdxh0p5spfkgpfj 192.168.50.204:2377</t>
    <phoneticPr fontId="2" type="noConversion"/>
  </si>
  <si>
    <t>$ docker swarm join --token SWMTKN-1-01xwpzmufsygtc2qvjcik2dhet5foa3jafwnnq9mpu5vmks2ft-3gmihjjkiriza5vv5ktyhjuef 192.168.50.204:2377</t>
    <phoneticPr fontId="2" type="noConversion"/>
  </si>
  <si>
    <t>auth-db</t>
    <phoneticPr fontId="2" type="noConversion"/>
  </si>
  <si>
    <t>- 10011:6379</t>
    <phoneticPr fontId="2" type="noConversion"/>
  </si>
  <si>
    <t>auth-01</t>
    <phoneticPr fontId="2" type="noConversion"/>
  </si>
  <si>
    <t>idx-01</t>
    <phoneticPr fontId="2" type="noConversion"/>
  </si>
  <si>
    <t>idx-02</t>
    <phoneticPr fontId="2" type="noConversion"/>
  </si>
  <si>
    <t>apl-01</t>
    <phoneticPr fontId="2" type="noConversion"/>
  </si>
  <si>
    <t>el-01</t>
    <phoneticPr fontId="2" type="noConversion"/>
  </si>
  <si>
    <t>gw-01</t>
    <phoneticPr fontId="2" type="noConversion"/>
  </si>
  <si>
    <t>lb-01</t>
    <phoneticPr fontId="2" type="noConversion"/>
  </si>
  <si>
    <t>lb-02</t>
    <phoneticPr fontId="2" type="noConversion"/>
  </si>
  <si>
    <t>lb-03</t>
    <phoneticPr fontId="2" type="noConversion"/>
  </si>
  <si>
    <t>mq trace perfm la lb gw auth idx apl el ap mom</t>
    <phoneticPr fontId="2" type="noConversion"/>
  </si>
  <si>
    <t>- 11011:9101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</si>
</sst>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6"/>
      <name val="맑은 고딕"/>
      <family val="2"/>
      <charset val="129"/>
      <scheme val="minor"/>
    </font>
    <font>
      <sz val="12"/>
      <color theme="6"/>
      <name val="맑은 고딕"/>
      <family val="3"/>
      <charset val="129"/>
    </font>
    <font>
      <sz val="12"/>
      <color rgb="FFC00000"/>
      <name val="맑은 고딕"/>
      <family val="3"/>
      <charset val="129"/>
    </font>
    <font>
      <sz val="12"/>
      <color rgb="FFC00000"/>
      <name val="D2Coding"/>
      <family val="2"/>
      <charset val="129"/>
    </font>
    <font>
      <sz val="12"/>
      <color rgb="FFC00000"/>
      <name val="맑은 고딕"/>
      <family val="2"/>
      <charset val="129"/>
      <scheme val="minor"/>
    </font>
    <font>
      <sz val="12"/>
      <color theme="1"/>
      <name val="맑은 고딕"/>
      <family val="2"/>
      <charset val="129"/>
    </font>
    <font>
      <sz val="12"/>
      <color rgb="FFC00000"/>
      <name val="맑은 고딕"/>
      <family val="2"/>
      <charset val="129"/>
    </font>
    <font>
      <sz val="12"/>
      <color theme="1"/>
      <name val="D2Coding"/>
      <family val="2"/>
      <charset val="129"/>
    </font>
    <font>
      <sz val="12"/>
      <color rgb="FF0070C0"/>
      <name val="D2Coding"/>
      <family val="2"/>
      <charset val="129"/>
    </font>
    <font>
      <strike/>
      <sz val="12"/>
      <color theme="1"/>
      <name val="맑은 고딕"/>
      <family val="2"/>
      <charset val="129"/>
      <scheme val="minor"/>
    </font>
    <font>
      <sz val="12"/>
      <color rgb="FF15171A"/>
      <name val="맑은 고딕"/>
      <family val="2"/>
      <charset val="129"/>
      <scheme val="minor"/>
    </font>
    <font>
      <sz val="12"/>
      <color rgb="FF35373A"/>
      <name val="맑은 고딕"/>
      <family val="2"/>
      <charset val="129"/>
      <scheme val="minor"/>
    </font>
    <font>
      <sz val="12"/>
      <color theme="4"/>
      <name val="D2Coding"/>
      <family val="2"/>
      <charset val="129"/>
    </font>
    <font>
      <b/>
      <strike/>
      <sz val="12"/>
      <color theme="1"/>
      <name val="맑은 고딕"/>
      <family val="2"/>
      <charset val="129"/>
      <scheme val="minor"/>
    </font>
    <font>
      <strike/>
      <sz val="12"/>
      <color theme="4"/>
      <name val="D2Coding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4" fontId="0" fillId="0" borderId="1" xfId="0" quotePrefix="1" applyNumberForma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0" xfId="0" quotePrefix="1" applyAlignment="1">
      <alignment vertical="top" wrapText="1"/>
    </xf>
    <xf numFmtId="0" fontId="0" fillId="0" borderId="1" xfId="0" applyBorder="1">
      <alignment vertical="center"/>
    </xf>
    <xf numFmtId="0" fontId="10" fillId="0" borderId="1" xfId="0" applyFont="1" applyBorder="1" applyAlignment="1">
      <alignment vertical="center" wrapText="1"/>
    </xf>
    <xf numFmtId="0" fontId="0" fillId="0" borderId="0" xfId="0" quotePrefix="1">
      <alignment vertical="center"/>
    </xf>
    <xf numFmtId="0" fontId="1" fillId="0" borderId="0" xfId="0" applyFont="1">
      <alignment vertical="center"/>
    </xf>
    <xf numFmtId="0" fontId="6" fillId="0" borderId="0" xfId="0" applyFont="1">
      <alignment vertical="center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4" borderId="1" xfId="0" quotePrefix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5" borderId="1" xfId="0" quotePrefix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quotePrefix="1" applyFont="1" applyBorder="1" applyAlignment="1">
      <alignment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quotePrefix="1" applyBorder="1" applyAlignment="1">
      <alignment horizontal="center" vertical="center"/>
    </xf>
    <xf numFmtId="0" fontId="0" fillId="0" borderId="1" xfId="0" quotePrefix="1" applyBorder="1">
      <alignment vertical="center"/>
    </xf>
    <xf numFmtId="0" fontId="0" fillId="0" borderId="1" xfId="0" applyBorder="1" applyAlignment="1">
      <alignment horizontal="center" vertical="center"/>
    </xf>
    <xf numFmtId="0" fontId="13" fillId="0" borderId="0" xfId="0" applyFont="1">
      <alignment vertical="center"/>
    </xf>
    <xf numFmtId="0" fontId="15" fillId="0" borderId="0" xfId="0" applyFont="1">
      <alignment vertical="center"/>
    </xf>
    <xf numFmtId="0" fontId="13" fillId="0" borderId="0" xfId="0" quotePrefix="1" applyFont="1">
      <alignment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2" fillId="0" borderId="0" xfId="0" applyFont="1">
      <alignment vertical="center"/>
    </xf>
    <xf numFmtId="0" fontId="12" fillId="0" borderId="0" xfId="0" quotePrefix="1" applyFont="1">
      <alignment vertical="center"/>
    </xf>
  </cellXfs>
  <cellStyles count="1">
    <cellStyle name="표준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8CF35-935A-6A40-A08F-32DF74DECC89}">
  <sheetPr>
    <tabColor theme="5" tint="0.79998168889431442"/>
  </sheetPr>
  <dimension ref="A1:E9"/>
  <sheetViews>
    <sheetView workbookViewId="0">
      <selection activeCell="A4" sqref="A4:XFD4"/>
    </sheetView>
  </sheetViews>
  <sheetFormatPr baseColWidth="10" defaultRowHeight="18"/>
  <cols>
    <col min="1" max="1" width="15" style="5" customWidth="1"/>
    <col min="2" max="2" width="21.85546875" style="5" customWidth="1"/>
    <col min="3" max="3" width="21.85546875" style="9" customWidth="1"/>
    <col min="4" max="4" width="54.7109375" style="5" customWidth="1"/>
    <col min="5" max="5" width="99.42578125" style="5" customWidth="1"/>
    <col min="6" max="16384" width="10.7109375" style="2"/>
  </cols>
  <sheetData>
    <row r="1" spans="1:5" ht="19">
      <c r="A1" s="4" t="s">
        <v>81</v>
      </c>
      <c r="B1" s="4" t="s">
        <v>0</v>
      </c>
      <c r="C1" s="4" t="s">
        <v>111</v>
      </c>
      <c r="D1" s="4" t="s">
        <v>64</v>
      </c>
      <c r="E1" s="4" t="s">
        <v>65</v>
      </c>
    </row>
    <row r="2" spans="1:5" ht="19">
      <c r="A2" s="10" t="s">
        <v>82</v>
      </c>
      <c r="B2" s="5" t="s">
        <v>84</v>
      </c>
      <c r="C2" s="11" t="s">
        <v>112</v>
      </c>
      <c r="E2" s="8" t="s">
        <v>88</v>
      </c>
    </row>
    <row r="3" spans="1:5" ht="19">
      <c r="A3" s="10" t="s">
        <v>82</v>
      </c>
      <c r="B3" s="5" t="s">
        <v>114</v>
      </c>
      <c r="C3" s="11" t="s">
        <v>116</v>
      </c>
      <c r="E3" s="8" t="s">
        <v>115</v>
      </c>
    </row>
    <row r="4" spans="1:5" ht="19">
      <c r="A4" s="10" t="s">
        <v>83</v>
      </c>
      <c r="B4" s="5" t="s">
        <v>86</v>
      </c>
      <c r="C4" s="12" t="s">
        <v>113</v>
      </c>
      <c r="E4" s="8" t="s">
        <v>90</v>
      </c>
    </row>
    <row r="5" spans="1:5" ht="57">
      <c r="A5" s="10" t="s">
        <v>83</v>
      </c>
      <c r="B5" s="5" t="s">
        <v>85</v>
      </c>
      <c r="C5" s="12" t="s">
        <v>113</v>
      </c>
      <c r="D5" s="8" t="s">
        <v>136</v>
      </c>
      <c r="E5" s="8" t="s">
        <v>89</v>
      </c>
    </row>
    <row r="6" spans="1:5" ht="76">
      <c r="A6" s="10" t="s">
        <v>83</v>
      </c>
      <c r="B6" s="5" t="s">
        <v>123</v>
      </c>
      <c r="C6" s="12" t="s">
        <v>113</v>
      </c>
      <c r="D6" s="8" t="s">
        <v>135</v>
      </c>
      <c r="E6" s="8" t="s">
        <v>122</v>
      </c>
    </row>
    <row r="7" spans="1:5" ht="114">
      <c r="A7" s="10" t="s">
        <v>83</v>
      </c>
      <c r="B7" s="5" t="s">
        <v>87</v>
      </c>
      <c r="C7" s="12" t="s">
        <v>113</v>
      </c>
      <c r="D7" s="8" t="s">
        <v>106</v>
      </c>
      <c r="E7" s="8" t="s">
        <v>108</v>
      </c>
    </row>
    <row r="8" spans="1:5" ht="171">
      <c r="A8" s="10" t="s">
        <v>83</v>
      </c>
      <c r="B8" s="5" t="s">
        <v>107</v>
      </c>
      <c r="C8" s="12" t="s">
        <v>113</v>
      </c>
      <c r="D8" s="8" t="s">
        <v>110</v>
      </c>
      <c r="E8" s="8" t="s">
        <v>109</v>
      </c>
    </row>
    <row r="9" spans="1:5">
      <c r="A9" s="10"/>
      <c r="C9" s="12"/>
      <c r="E9" s="8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E57EA-36B1-C44D-B354-B13AF8FDC2D1}">
  <sheetPr>
    <tabColor theme="8" tint="0.79998168889431442"/>
  </sheetPr>
  <dimension ref="A1:E4"/>
  <sheetViews>
    <sheetView workbookViewId="0">
      <selection activeCell="C4" sqref="C4"/>
    </sheetView>
  </sheetViews>
  <sheetFormatPr baseColWidth="10" defaultRowHeight="18"/>
  <cols>
    <col min="1" max="1" width="10.7109375" style="2"/>
    <col min="2" max="2" width="63" style="2" customWidth="1"/>
    <col min="3" max="3" width="20.85546875" style="2" customWidth="1"/>
    <col min="4" max="4" width="16.85546875" style="6" customWidth="1"/>
    <col min="5" max="5" width="63.7109375" style="2" customWidth="1"/>
    <col min="6" max="16384" width="10.7109375" style="2"/>
  </cols>
  <sheetData>
    <row r="1" spans="1:5" ht="19">
      <c r="A1" s="3" t="s">
        <v>24</v>
      </c>
      <c r="B1" s="3" t="s">
        <v>21</v>
      </c>
      <c r="C1" s="3" t="s">
        <v>22</v>
      </c>
      <c r="D1" s="3" t="s">
        <v>20</v>
      </c>
      <c r="E1" s="3" t="s">
        <v>23</v>
      </c>
    </row>
    <row r="2" spans="1:5" ht="57">
      <c r="B2" s="7" t="s">
        <v>25</v>
      </c>
      <c r="C2" s="2" t="s">
        <v>26</v>
      </c>
      <c r="D2" s="6" t="s">
        <v>27</v>
      </c>
    </row>
    <row r="3" spans="1:5" ht="57">
      <c r="B3" s="7" t="s">
        <v>276</v>
      </c>
      <c r="C3" s="2" t="s">
        <v>278</v>
      </c>
      <c r="D3" s="6" t="s">
        <v>27</v>
      </c>
    </row>
    <row r="4" spans="1:5" ht="38">
      <c r="B4" s="7" t="s">
        <v>277</v>
      </c>
      <c r="C4" s="2" t="s">
        <v>278</v>
      </c>
      <c r="D4" s="6" t="s">
        <v>27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087E7-8AE6-CE49-B750-57BBF0E7098A}">
  <sheetPr>
    <tabColor theme="8" tint="0.79998168889431442"/>
  </sheetPr>
  <dimension ref="A1:J29"/>
  <sheetViews>
    <sheetView workbookViewId="0">
      <selection activeCell="A2" sqref="A2"/>
    </sheetView>
  </sheetViews>
  <sheetFormatPr baseColWidth="10" defaultRowHeight="18"/>
  <cols>
    <col min="1" max="1" width="14.5703125" style="5" customWidth="1"/>
    <col min="2" max="2" width="7.28515625" style="9" customWidth="1"/>
    <col min="3" max="3" width="33.5703125" style="5" customWidth="1"/>
    <col min="4" max="4" width="15.42578125" style="5" customWidth="1"/>
    <col min="5" max="6" width="16.85546875" style="5" customWidth="1"/>
    <col min="7" max="7" width="17.85546875" style="5" customWidth="1"/>
    <col min="8" max="8" width="10.7109375" style="9"/>
    <col min="9" max="9" width="12.85546875" style="5" customWidth="1"/>
    <col min="10" max="10" width="76" style="5" customWidth="1"/>
    <col min="11" max="16384" width="10.7109375" style="2"/>
  </cols>
  <sheetData>
    <row r="1" spans="1:10" ht="19">
      <c r="A1" s="4" t="s">
        <v>7</v>
      </c>
      <c r="B1" s="4" t="s">
        <v>34</v>
      </c>
      <c r="C1" s="4" t="s">
        <v>5</v>
      </c>
      <c r="D1" s="4" t="s">
        <v>38</v>
      </c>
      <c r="E1" s="4" t="s">
        <v>102</v>
      </c>
      <c r="F1" s="4" t="s">
        <v>157</v>
      </c>
      <c r="G1" s="4" t="s">
        <v>101</v>
      </c>
      <c r="H1" s="4" t="s">
        <v>70</v>
      </c>
      <c r="I1" s="4" t="s">
        <v>52</v>
      </c>
      <c r="J1" s="4" t="s">
        <v>6</v>
      </c>
    </row>
    <row r="2" spans="1:10" ht="19">
      <c r="A2" s="5" t="s">
        <v>270</v>
      </c>
      <c r="B2" s="9" t="s">
        <v>35</v>
      </c>
      <c r="C2" s="5" t="s">
        <v>240</v>
      </c>
      <c r="D2" s="8"/>
      <c r="H2" s="9">
        <v>10</v>
      </c>
      <c r="I2" s="5">
        <v>9101</v>
      </c>
      <c r="J2" s="8" t="s">
        <v>241</v>
      </c>
    </row>
    <row r="3" spans="1:10" ht="19">
      <c r="A3" s="5" t="s">
        <v>242</v>
      </c>
      <c r="B3" s="9" t="s">
        <v>35</v>
      </c>
      <c r="C3" s="5" t="s">
        <v>243</v>
      </c>
      <c r="D3" s="8"/>
      <c r="H3" s="9">
        <v>20</v>
      </c>
      <c r="I3" s="5">
        <v>9102</v>
      </c>
      <c r="J3" s="8" t="s">
        <v>244</v>
      </c>
    </row>
    <row r="4" spans="1:10" ht="19">
      <c r="A4" s="19" t="s">
        <v>137</v>
      </c>
      <c r="B4" s="9" t="s">
        <v>35</v>
      </c>
      <c r="C4" s="5" t="s">
        <v>138</v>
      </c>
      <c r="D4" s="8" t="s">
        <v>95</v>
      </c>
      <c r="H4" s="9">
        <v>30</v>
      </c>
      <c r="I4" s="5">
        <v>9103</v>
      </c>
      <c r="J4" s="8" t="s">
        <v>139</v>
      </c>
    </row>
    <row r="5" spans="1:10">
      <c r="A5" s="24"/>
      <c r="B5" s="29"/>
      <c r="C5" s="24"/>
      <c r="D5" s="25"/>
      <c r="E5" s="24"/>
      <c r="F5" s="24"/>
      <c r="G5" s="24"/>
      <c r="H5" s="29"/>
      <c r="I5" s="24"/>
      <c r="J5" s="25"/>
    </row>
    <row r="6" spans="1:10" ht="19">
      <c r="A6" s="19" t="s">
        <v>33</v>
      </c>
      <c r="B6" s="9" t="s">
        <v>35</v>
      </c>
      <c r="C6" s="5" t="s">
        <v>30</v>
      </c>
      <c r="D6" s="8" t="s">
        <v>40</v>
      </c>
      <c r="E6" s="8"/>
      <c r="F6" s="8" t="s">
        <v>103</v>
      </c>
      <c r="G6" s="8" t="s">
        <v>104</v>
      </c>
      <c r="H6" s="9">
        <v>100</v>
      </c>
      <c r="I6" s="8">
        <v>9111</v>
      </c>
      <c r="J6" s="8" t="s">
        <v>31</v>
      </c>
    </row>
    <row r="7" spans="1:10" ht="38">
      <c r="A7" s="19" t="s">
        <v>208</v>
      </c>
      <c r="B7" s="9" t="s">
        <v>35</v>
      </c>
      <c r="C7" s="5" t="s">
        <v>209</v>
      </c>
      <c r="D7" s="8" t="s">
        <v>40</v>
      </c>
      <c r="F7" s="8" t="s">
        <v>224</v>
      </c>
      <c r="G7" s="8" t="s">
        <v>212</v>
      </c>
      <c r="H7" s="9">
        <v>110</v>
      </c>
      <c r="I7" s="5">
        <v>9112</v>
      </c>
      <c r="J7" s="8" t="s">
        <v>210</v>
      </c>
    </row>
    <row r="8" spans="1:10" ht="19">
      <c r="A8" s="5" t="s">
        <v>228</v>
      </c>
      <c r="B8" s="9" t="s">
        <v>35</v>
      </c>
      <c r="C8" s="5" t="s">
        <v>229</v>
      </c>
      <c r="D8" s="8" t="s">
        <v>40</v>
      </c>
      <c r="F8" s="8" t="s">
        <v>221</v>
      </c>
      <c r="G8" s="8" t="s">
        <v>230</v>
      </c>
      <c r="H8" s="9">
        <v>120</v>
      </c>
      <c r="I8" s="5">
        <v>9113</v>
      </c>
      <c r="J8" s="8" t="s">
        <v>231</v>
      </c>
    </row>
    <row r="9" spans="1:10">
      <c r="A9" s="24"/>
      <c r="B9" s="29"/>
      <c r="C9" s="24"/>
      <c r="D9" s="25"/>
      <c r="E9" s="24"/>
      <c r="F9" s="25"/>
      <c r="G9" s="25"/>
      <c r="H9" s="29"/>
      <c r="I9" s="24"/>
      <c r="J9" s="25"/>
    </row>
    <row r="10" spans="1:10" ht="38">
      <c r="A10" s="19" t="s">
        <v>32</v>
      </c>
      <c r="B10" s="9" t="s">
        <v>35</v>
      </c>
      <c r="C10" s="5" t="s">
        <v>28</v>
      </c>
      <c r="D10" s="8" t="s">
        <v>39</v>
      </c>
      <c r="E10" s="8" t="s">
        <v>103</v>
      </c>
      <c r="F10" s="8"/>
      <c r="G10" s="8"/>
      <c r="H10" s="9">
        <v>200</v>
      </c>
      <c r="I10" s="8">
        <v>9121</v>
      </c>
      <c r="J10" s="8" t="s">
        <v>29</v>
      </c>
    </row>
    <row r="11" spans="1:10" ht="19">
      <c r="A11" s="19" t="s">
        <v>91</v>
      </c>
      <c r="B11" s="9" t="s">
        <v>35</v>
      </c>
      <c r="C11" s="5" t="s">
        <v>92</v>
      </c>
      <c r="D11" s="8" t="s">
        <v>95</v>
      </c>
      <c r="E11" s="8" t="s">
        <v>125</v>
      </c>
      <c r="F11" s="8" t="s">
        <v>103</v>
      </c>
      <c r="G11" s="8" t="s">
        <v>105</v>
      </c>
      <c r="H11" s="9">
        <v>210</v>
      </c>
      <c r="I11" s="5">
        <v>9122</v>
      </c>
      <c r="J11" s="8" t="s">
        <v>93</v>
      </c>
    </row>
    <row r="12" spans="1:10" ht="19">
      <c r="A12" s="5" t="s">
        <v>220</v>
      </c>
      <c r="B12" s="9" t="s">
        <v>35</v>
      </c>
      <c r="C12" s="5" t="s">
        <v>152</v>
      </c>
      <c r="D12" s="8"/>
      <c r="E12" s="8" t="s">
        <v>221</v>
      </c>
      <c r="F12" s="8" t="s">
        <v>125</v>
      </c>
      <c r="G12" s="8" t="s">
        <v>222</v>
      </c>
      <c r="H12" s="9">
        <v>220</v>
      </c>
      <c r="I12" s="5">
        <v>9123</v>
      </c>
      <c r="J12" s="8" t="s">
        <v>223</v>
      </c>
    </row>
    <row r="13" spans="1:10" ht="19">
      <c r="A13" s="5" t="s">
        <v>225</v>
      </c>
      <c r="B13" s="9" t="s">
        <v>35</v>
      </c>
      <c r="C13" s="5" t="s">
        <v>226</v>
      </c>
      <c r="D13" s="8"/>
      <c r="F13" s="8" t="s">
        <v>125</v>
      </c>
      <c r="G13" s="8" t="s">
        <v>227</v>
      </c>
      <c r="H13" s="9">
        <v>230</v>
      </c>
      <c r="I13" s="5">
        <v>9124</v>
      </c>
      <c r="J13" s="8" t="s">
        <v>235</v>
      </c>
    </row>
    <row r="14" spans="1:10" ht="19">
      <c r="A14" s="5" t="s">
        <v>232</v>
      </c>
      <c r="B14" s="9" t="s">
        <v>35</v>
      </c>
      <c r="C14" s="5" t="s">
        <v>233</v>
      </c>
      <c r="D14" s="8"/>
      <c r="F14" s="8" t="s">
        <v>125</v>
      </c>
      <c r="G14" s="8" t="s">
        <v>234</v>
      </c>
      <c r="H14" s="9">
        <v>240</v>
      </c>
      <c r="I14" s="5">
        <v>9125</v>
      </c>
      <c r="J14" s="8" t="s">
        <v>236</v>
      </c>
    </row>
    <row r="15" spans="1:10" ht="38">
      <c r="A15" s="5" t="s">
        <v>237</v>
      </c>
      <c r="B15" s="9" t="s">
        <v>35</v>
      </c>
      <c r="C15" s="5" t="s">
        <v>151</v>
      </c>
      <c r="D15" s="8"/>
      <c r="F15" s="8" t="s">
        <v>224</v>
      </c>
      <c r="G15" s="8" t="s">
        <v>238</v>
      </c>
      <c r="H15" s="9">
        <v>250</v>
      </c>
      <c r="I15" s="5">
        <v>9126</v>
      </c>
      <c r="J15" s="8" t="s">
        <v>239</v>
      </c>
    </row>
    <row r="16" spans="1:10">
      <c r="A16" s="24"/>
      <c r="B16" s="29"/>
      <c r="C16" s="24"/>
      <c r="D16" s="25"/>
      <c r="E16" s="24"/>
      <c r="F16" s="25"/>
      <c r="G16" s="25"/>
      <c r="H16" s="29"/>
      <c r="I16" s="24"/>
      <c r="J16" s="25"/>
    </row>
    <row r="17" spans="1:10" ht="19">
      <c r="A17" s="21"/>
      <c r="B17" s="20"/>
      <c r="C17" s="21"/>
      <c r="D17" s="22"/>
      <c r="E17" s="21"/>
      <c r="F17" s="21"/>
      <c r="G17" s="21"/>
      <c r="H17" s="20">
        <v>300</v>
      </c>
      <c r="I17" s="21"/>
      <c r="J17" s="22" t="s">
        <v>245</v>
      </c>
    </row>
    <row r="18" spans="1:10" ht="19">
      <c r="A18" s="21"/>
      <c r="B18" s="20"/>
      <c r="C18" s="21"/>
      <c r="D18" s="22"/>
      <c r="E18" s="21"/>
      <c r="F18" s="21"/>
      <c r="G18" s="21"/>
      <c r="H18" s="20">
        <v>400</v>
      </c>
      <c r="I18" s="21"/>
      <c r="J18" s="22" t="s">
        <v>246</v>
      </c>
    </row>
    <row r="19" spans="1:10">
      <c r="A19" s="24"/>
      <c r="B19" s="29"/>
      <c r="C19" s="24"/>
      <c r="D19" s="25"/>
      <c r="E19" s="24"/>
      <c r="F19" s="24"/>
      <c r="G19" s="24"/>
      <c r="H19" s="29"/>
      <c r="I19" s="24"/>
      <c r="J19" s="25"/>
    </row>
    <row r="20" spans="1:10" ht="19">
      <c r="A20" s="19" t="s">
        <v>163</v>
      </c>
      <c r="B20" s="9" t="s">
        <v>35</v>
      </c>
      <c r="C20" s="5" t="s">
        <v>164</v>
      </c>
      <c r="H20" s="9">
        <v>500</v>
      </c>
      <c r="I20" s="5">
        <v>8080</v>
      </c>
      <c r="J20" s="8" t="s">
        <v>165</v>
      </c>
    </row>
    <row r="21" spans="1:10" ht="19">
      <c r="A21" s="19" t="s">
        <v>158</v>
      </c>
      <c r="B21" s="9" t="s">
        <v>35</v>
      </c>
      <c r="C21" s="5" t="s">
        <v>159</v>
      </c>
      <c r="E21" s="8" t="s">
        <v>125</v>
      </c>
      <c r="H21" s="9">
        <v>510</v>
      </c>
      <c r="I21" s="5">
        <v>8761</v>
      </c>
      <c r="J21" s="8" t="s">
        <v>160</v>
      </c>
    </row>
    <row r="22" spans="1:10">
      <c r="A22" s="24"/>
      <c r="B22" s="29"/>
      <c r="C22" s="24"/>
      <c r="D22" s="24"/>
      <c r="E22" s="24"/>
      <c r="F22" s="24"/>
      <c r="G22" s="24"/>
      <c r="H22" s="29"/>
      <c r="I22" s="24"/>
      <c r="J22" s="24"/>
    </row>
    <row r="23" spans="1:10" ht="19">
      <c r="A23" s="19" t="s">
        <v>42</v>
      </c>
      <c r="B23" s="9" t="s">
        <v>71</v>
      </c>
      <c r="C23" s="5" t="s">
        <v>37</v>
      </c>
      <c r="H23" s="9">
        <v>610</v>
      </c>
      <c r="I23" s="5">
        <v>9094</v>
      </c>
      <c r="J23" s="8" t="s">
        <v>72</v>
      </c>
    </row>
    <row r="24" spans="1:10" ht="19">
      <c r="A24" s="19" t="s">
        <v>57</v>
      </c>
      <c r="B24" s="9" t="s">
        <v>71</v>
      </c>
      <c r="C24" s="5" t="s">
        <v>58</v>
      </c>
      <c r="H24" s="9">
        <v>620</v>
      </c>
      <c r="I24" s="5">
        <v>9090</v>
      </c>
      <c r="J24" s="8" t="s">
        <v>59</v>
      </c>
    </row>
    <row r="25" spans="1:10" ht="19">
      <c r="A25" s="19" t="s">
        <v>56</v>
      </c>
      <c r="B25" s="9" t="s">
        <v>71</v>
      </c>
      <c r="C25" s="5" t="s">
        <v>60</v>
      </c>
      <c r="H25" s="9">
        <v>630</v>
      </c>
      <c r="I25" s="5">
        <v>3000</v>
      </c>
      <c r="J25" s="8" t="s">
        <v>61</v>
      </c>
    </row>
    <row r="26" spans="1:10" ht="19">
      <c r="A26" s="19" t="s">
        <v>56</v>
      </c>
      <c r="B26" s="9" t="s">
        <v>71</v>
      </c>
      <c r="C26" s="5" t="s">
        <v>187</v>
      </c>
      <c r="I26" s="5">
        <v>3100</v>
      </c>
      <c r="J26" s="8" t="s">
        <v>188</v>
      </c>
    </row>
    <row r="27" spans="1:10" ht="19">
      <c r="A27" s="19" t="s">
        <v>262</v>
      </c>
      <c r="B27" s="9" t="s">
        <v>71</v>
      </c>
      <c r="C27" s="5" t="s">
        <v>190</v>
      </c>
      <c r="H27" s="9">
        <v>640</v>
      </c>
      <c r="I27" s="5">
        <v>9080</v>
      </c>
      <c r="J27" s="8" t="s">
        <v>191</v>
      </c>
    </row>
    <row r="28" spans="1:10" ht="19">
      <c r="A28" s="26" t="s">
        <v>63</v>
      </c>
      <c r="B28" s="27" t="s">
        <v>71</v>
      </c>
      <c r="C28" s="26" t="s">
        <v>73</v>
      </c>
      <c r="D28" s="28" t="s">
        <v>75</v>
      </c>
      <c r="E28" s="26"/>
      <c r="F28" s="26"/>
      <c r="G28" s="26"/>
      <c r="H28" s="27">
        <v>650</v>
      </c>
      <c r="I28" s="26">
        <v>9411</v>
      </c>
      <c r="J28" s="28" t="s">
        <v>74</v>
      </c>
    </row>
    <row r="29" spans="1:10" ht="38">
      <c r="A29" s="19" t="s">
        <v>128</v>
      </c>
      <c r="B29" s="9" t="s">
        <v>71</v>
      </c>
      <c r="C29" s="5" t="s">
        <v>129</v>
      </c>
      <c r="H29" s="9">
        <v>660</v>
      </c>
      <c r="I29" s="30" t="s">
        <v>130</v>
      </c>
      <c r="J29" s="8" t="s">
        <v>131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84C4F-AB7F-9248-A90A-2106B948DF7B}">
  <sheetPr>
    <tabColor rgb="FF00B050"/>
  </sheetPr>
  <dimension ref="A1:E36"/>
  <sheetViews>
    <sheetView workbookViewId="0">
      <selection activeCell="E4" sqref="E4"/>
    </sheetView>
  </sheetViews>
  <sheetFormatPr baseColWidth="10" defaultRowHeight="18"/>
  <cols>
    <col min="1" max="1" width="15.140625" style="5" customWidth="1"/>
    <col min="2" max="2" width="15.28515625" style="5" customWidth="1"/>
    <col min="3" max="3" width="36.7109375" style="5" customWidth="1"/>
    <col min="4" max="5" width="54.85546875" style="5" customWidth="1"/>
  </cols>
  <sheetData>
    <row r="1" spans="1:5" ht="19">
      <c r="A1" s="4" t="s">
        <v>166</v>
      </c>
      <c r="B1" s="4" t="s">
        <v>173</v>
      </c>
      <c r="C1" s="4" t="s">
        <v>174</v>
      </c>
      <c r="D1" s="4" t="s">
        <v>169</v>
      </c>
      <c r="E1" s="4" t="s">
        <v>170</v>
      </c>
    </row>
    <row r="2" spans="1:5" ht="19">
      <c r="A2" s="5" t="s">
        <v>167</v>
      </c>
      <c r="B2" s="5" t="s">
        <v>270</v>
      </c>
      <c r="C2" s="5" t="str">
        <f>IFERROR(VLOOKUP(B2,'Service List'!A:C,3,FALSE),"")</f>
        <v>Authentication &amp; Authorization</v>
      </c>
      <c r="D2" s="15" t="s">
        <v>271</v>
      </c>
      <c r="E2" s="5" t="s">
        <v>272</v>
      </c>
    </row>
    <row r="3" spans="1:5" ht="19">
      <c r="A3" s="5" t="s">
        <v>167</v>
      </c>
      <c r="B3" s="5" t="s">
        <v>242</v>
      </c>
      <c r="C3" s="5" t="str">
        <f>IFERROR(VLOOKUP(B3,'Service List'!A:C,3,FALSE),"")</f>
        <v>Global Scheduler</v>
      </c>
      <c r="D3" s="15" t="s">
        <v>273</v>
      </c>
      <c r="E3" s="5" t="s">
        <v>274</v>
      </c>
    </row>
    <row r="4" spans="1:5" ht="19">
      <c r="A4" s="5" t="s">
        <v>167</v>
      </c>
      <c r="B4" s="5" t="s">
        <v>137</v>
      </c>
      <c r="C4" s="5" t="str">
        <f>IFERROR(VLOOKUP(B4,'Service List'!A:C,3,FALSE),"")</f>
        <v>Global Index Generator</v>
      </c>
      <c r="D4" s="15" t="s">
        <v>168</v>
      </c>
      <c r="E4" s="5" t="s">
        <v>171</v>
      </c>
    </row>
    <row r="5" spans="1:5" ht="19">
      <c r="A5" s="5" t="s">
        <v>172</v>
      </c>
      <c r="B5" s="5" t="s">
        <v>32</v>
      </c>
      <c r="C5" s="5" t="str">
        <f>IFERROR(VLOOKUP(B5,'Service List'!A:C,3,FALSE),"")</f>
        <v>Access Point</v>
      </c>
      <c r="D5" s="15" t="s">
        <v>176</v>
      </c>
      <c r="E5" s="5" t="s">
        <v>179</v>
      </c>
    </row>
    <row r="6" spans="1:5" ht="19">
      <c r="A6" s="5" t="s">
        <v>172</v>
      </c>
      <c r="B6" s="5" t="s">
        <v>91</v>
      </c>
      <c r="C6" s="5" t="str">
        <f>IFERROR(VLOOKUP(B6,'Service List'!A:C,3,FALSE),"")</f>
        <v>Managed Object Manager</v>
      </c>
      <c r="D6" s="15" t="s">
        <v>177</v>
      </c>
      <c r="E6" s="5" t="s">
        <v>180</v>
      </c>
    </row>
    <row r="7" spans="1:5" ht="19">
      <c r="A7" s="5" t="s">
        <v>175</v>
      </c>
      <c r="B7" s="5" t="s">
        <v>33</v>
      </c>
      <c r="C7" s="5" t="str">
        <f>IFERROR(VLOOKUP(B7,'Service List'!A:C,3,FALSE),"")</f>
        <v>Access Point Logger</v>
      </c>
      <c r="D7" s="15" t="s">
        <v>178</v>
      </c>
      <c r="E7" s="5" t="s">
        <v>181</v>
      </c>
    </row>
    <row r="8" spans="1:5" ht="19">
      <c r="A8" s="5" t="s">
        <v>175</v>
      </c>
      <c r="B8" s="5" t="s">
        <v>208</v>
      </c>
      <c r="C8" s="5" t="str">
        <f>IFERROR(VLOOKUP(B8,'Service List'!A:C,3,FALSE),"")</f>
        <v>Event Logger</v>
      </c>
      <c r="D8" s="15" t="s">
        <v>218</v>
      </c>
      <c r="E8" s="5" t="s">
        <v>219</v>
      </c>
    </row>
    <row r="9" spans="1:5" ht="19">
      <c r="C9" s="5" t="str">
        <f>IFERROR(VLOOKUP(B9,'Service List'!A:C,3,FALSE),"")</f>
        <v/>
      </c>
    </row>
    <row r="10" spans="1:5" ht="19">
      <c r="C10" s="5" t="str">
        <f>IFERROR(VLOOKUP(B10,'Service List'!A:C,3,FALSE),"")</f>
        <v/>
      </c>
    </row>
    <row r="11" spans="1:5" ht="19">
      <c r="C11" s="5" t="str">
        <f>IFERROR(VLOOKUP(B11,'Service List'!A:C,3,FALSE),"")</f>
        <v/>
      </c>
    </row>
    <row r="12" spans="1:5" ht="19">
      <c r="C12" s="5" t="str">
        <f>IFERROR(VLOOKUP(B12,'Service List'!A:C,3,FALSE),"")</f>
        <v/>
      </c>
    </row>
    <row r="13" spans="1:5" ht="19">
      <c r="C13" s="5" t="str">
        <f>IFERROR(VLOOKUP(B13,'Service List'!A:C,3,FALSE),"")</f>
        <v/>
      </c>
    </row>
    <row r="14" spans="1:5" ht="19">
      <c r="C14" s="5" t="str">
        <f>IFERROR(VLOOKUP(B14,'Service List'!A:C,3,FALSE),"")</f>
        <v/>
      </c>
    </row>
    <row r="15" spans="1:5" ht="19">
      <c r="C15" s="5" t="str">
        <f>IFERROR(VLOOKUP(B15,'Service List'!A:C,3,FALSE),"")</f>
        <v/>
      </c>
    </row>
    <row r="16" spans="1:5" ht="19">
      <c r="C16" s="5" t="str">
        <f>IFERROR(VLOOKUP(B16,'Service List'!A:C,3,FALSE),"")</f>
        <v/>
      </c>
    </row>
    <row r="17" spans="3:3" ht="19">
      <c r="C17" s="5" t="str">
        <f>IFERROR(VLOOKUP(B17,'Service List'!A:C,3,FALSE),"")</f>
        <v/>
      </c>
    </row>
    <row r="18" spans="3:3" ht="19">
      <c r="C18" s="5" t="str">
        <f>IFERROR(VLOOKUP(B18,'Service List'!A:C,3,FALSE),"")</f>
        <v/>
      </c>
    </row>
    <row r="19" spans="3:3" ht="19">
      <c r="C19" s="5" t="str">
        <f>IFERROR(VLOOKUP(B19,'Service List'!A:C,3,FALSE),"")</f>
        <v/>
      </c>
    </row>
    <row r="20" spans="3:3" ht="19">
      <c r="C20" s="5" t="str">
        <f>IFERROR(VLOOKUP(B20,'Service List'!A:C,3,FALSE),"")</f>
        <v/>
      </c>
    </row>
    <row r="21" spans="3:3" ht="19">
      <c r="C21" s="5" t="str">
        <f>IFERROR(VLOOKUP(B21,'Service List'!A:C,3,FALSE),"")</f>
        <v/>
      </c>
    </row>
    <row r="22" spans="3:3" ht="19">
      <c r="C22" s="5" t="str">
        <f>IFERROR(VLOOKUP(B22,'Service List'!A:C,3,FALSE),"")</f>
        <v/>
      </c>
    </row>
    <row r="23" spans="3:3" ht="19">
      <c r="C23" s="5" t="str">
        <f>IFERROR(VLOOKUP(B23,'Service List'!A:C,3,FALSE),"")</f>
        <v/>
      </c>
    </row>
    <row r="24" spans="3:3" ht="19">
      <c r="C24" s="5" t="str">
        <f>IFERROR(VLOOKUP(B24,'Service List'!A:C,3,FALSE),"")</f>
        <v/>
      </c>
    </row>
    <row r="25" spans="3:3" ht="19">
      <c r="C25" s="5" t="str">
        <f>IFERROR(VLOOKUP(B25,'Service List'!A:C,3,FALSE),"")</f>
        <v/>
      </c>
    </row>
    <row r="26" spans="3:3" ht="19">
      <c r="C26" s="5" t="str">
        <f>IFERROR(VLOOKUP(B26,'Service List'!A:C,3,FALSE),"")</f>
        <v/>
      </c>
    </row>
    <row r="27" spans="3:3" ht="19">
      <c r="C27" s="5" t="str">
        <f>IFERROR(VLOOKUP(B27,'Service List'!A:C,3,FALSE),"")</f>
        <v/>
      </c>
    </row>
    <row r="28" spans="3:3" ht="19">
      <c r="C28" s="5" t="str">
        <f>IFERROR(VLOOKUP(B28,'Service List'!A:C,3,FALSE),"")</f>
        <v/>
      </c>
    </row>
    <row r="29" spans="3:3" ht="19">
      <c r="C29" s="5" t="str">
        <f>IFERROR(VLOOKUP(B29,'Service List'!A:C,3,FALSE),"")</f>
        <v/>
      </c>
    </row>
    <row r="30" spans="3:3" ht="19">
      <c r="C30" s="5" t="str">
        <f>IFERROR(VLOOKUP(B30,'Service List'!A:C,3,FALSE),"")</f>
        <v/>
      </c>
    </row>
    <row r="31" spans="3:3" ht="19">
      <c r="C31" s="5" t="str">
        <f>IFERROR(VLOOKUP(B31,'Service List'!A:C,3,FALSE),"")</f>
        <v/>
      </c>
    </row>
    <row r="32" spans="3:3" ht="19">
      <c r="C32" s="5" t="str">
        <f>IFERROR(VLOOKUP(B32,'Service List'!A:C,3,FALSE),"")</f>
        <v/>
      </c>
    </row>
    <row r="33" spans="3:3" ht="19">
      <c r="C33" s="5" t="str">
        <f>IFERROR(VLOOKUP(B33,'Service List'!A:C,3,FALSE),"")</f>
        <v/>
      </c>
    </row>
    <row r="34" spans="3:3" ht="19">
      <c r="C34" s="5" t="str">
        <f>IFERROR(VLOOKUP(B34,'Service List'!A:C,3,FALSE),"")</f>
        <v/>
      </c>
    </row>
    <row r="35" spans="3:3" ht="19">
      <c r="C35" s="5" t="str">
        <f>IFERROR(VLOOKUP(B35,'Service List'!A:C,3,FALSE),"")</f>
        <v/>
      </c>
    </row>
    <row r="36" spans="3:3" ht="19">
      <c r="C36" s="5" t="str">
        <f>IFERROR(VLOOKUP(B36,'Service List'!A:C,3,FALSE),"")</f>
        <v/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EE010-FAC4-1849-B24A-B23BCF0B6804}">
  <sheetPr>
    <tabColor rgb="FF0070C0"/>
  </sheetPr>
  <dimension ref="A2:C98"/>
  <sheetViews>
    <sheetView topLeftCell="A75" workbookViewId="0">
      <selection activeCell="F112" sqref="F112"/>
    </sheetView>
  </sheetViews>
  <sheetFormatPr baseColWidth="10" defaultRowHeight="18"/>
  <cols>
    <col min="1" max="1" width="10.7109375" style="17"/>
  </cols>
  <sheetData>
    <row r="2" spans="1:2">
      <c r="A2" s="17" t="s">
        <v>281</v>
      </c>
    </row>
    <row r="3" spans="1:2">
      <c r="B3" s="34" t="s">
        <v>282</v>
      </c>
    </row>
    <row r="4" spans="1:2">
      <c r="B4" s="34" t="s">
        <v>283</v>
      </c>
    </row>
    <row r="5" spans="1:2">
      <c r="B5" s="34" t="s">
        <v>284</v>
      </c>
    </row>
    <row r="6" spans="1:2">
      <c r="B6" s="34"/>
    </row>
    <row r="7" spans="1:2">
      <c r="A7" s="17" t="s">
        <v>348</v>
      </c>
      <c r="B7" s="34"/>
    </row>
    <row r="8" spans="1:2">
      <c r="B8" s="35" t="s">
        <v>371</v>
      </c>
    </row>
    <row r="9" spans="1:2">
      <c r="B9" s="35" t="s">
        <v>376</v>
      </c>
    </row>
    <row r="10" spans="1:2">
      <c r="B10" s="34"/>
    </row>
    <row r="11" spans="1:2">
      <c r="A11" s="17" t="s">
        <v>372</v>
      </c>
      <c r="B11" s="34"/>
    </row>
    <row r="12" spans="1:2">
      <c r="B12" s="35" t="s">
        <v>373</v>
      </c>
    </row>
    <row r="13" spans="1:2">
      <c r="B13" s="34"/>
    </row>
    <row r="14" spans="1:2">
      <c r="A14" s="17" t="s">
        <v>342</v>
      </c>
      <c r="B14" s="34"/>
    </row>
    <row r="15" spans="1:2">
      <c r="B15" s="36" t="s">
        <v>343</v>
      </c>
    </row>
    <row r="16" spans="1:2">
      <c r="B16" s="34"/>
    </row>
    <row r="18" spans="1:3">
      <c r="A18" s="17" t="s">
        <v>285</v>
      </c>
    </row>
    <row r="19" spans="1:3">
      <c r="B19" s="34" t="s">
        <v>286</v>
      </c>
    </row>
    <row r="20" spans="1:3">
      <c r="C20" s="16" t="s">
        <v>288</v>
      </c>
    </row>
    <row r="21" spans="1:3">
      <c r="C21" s="16" t="s">
        <v>289</v>
      </c>
    </row>
    <row r="22" spans="1:3">
      <c r="B22" t="s">
        <v>287</v>
      </c>
    </row>
    <row r="23" spans="1:3">
      <c r="C23" s="16" t="s">
        <v>344</v>
      </c>
    </row>
    <row r="25" spans="1:3">
      <c r="A25" s="17" t="s">
        <v>295</v>
      </c>
    </row>
    <row r="26" spans="1:3">
      <c r="B26" s="35" t="s">
        <v>374</v>
      </c>
    </row>
    <row r="27" spans="1:3">
      <c r="B27" s="35"/>
    </row>
    <row r="28" spans="1:3">
      <c r="A28" s="17" t="s">
        <v>349</v>
      </c>
      <c r="B28" s="35"/>
    </row>
    <row r="29" spans="1:3">
      <c r="B29" s="35" t="s">
        <v>350</v>
      </c>
    </row>
    <row r="30" spans="1:3">
      <c r="B30" s="35"/>
    </row>
    <row r="31" spans="1:3">
      <c r="A31" s="40" t="s">
        <v>351</v>
      </c>
      <c r="B31" s="41"/>
      <c r="C31" s="42"/>
    </row>
    <row r="32" spans="1:3">
      <c r="A32" s="40"/>
      <c r="B32" s="41" t="s">
        <v>355</v>
      </c>
      <c r="C32" s="42"/>
    </row>
    <row r="33" spans="1:3">
      <c r="A33" s="40"/>
      <c r="B33" s="41" t="s">
        <v>352</v>
      </c>
      <c r="C33" s="42"/>
    </row>
    <row r="34" spans="1:3">
      <c r="A34" s="40"/>
      <c r="B34" s="41" t="s">
        <v>353</v>
      </c>
      <c r="C34" s="42"/>
    </row>
    <row r="35" spans="1:3">
      <c r="A35" s="40"/>
      <c r="B35" s="41" t="s">
        <v>354</v>
      </c>
      <c r="C35" s="42"/>
    </row>
    <row r="36" spans="1:3">
      <c r="B36" s="35"/>
    </row>
    <row r="38" spans="1:3">
      <c r="A38" s="17" t="s">
        <v>280</v>
      </c>
    </row>
    <row r="39" spans="1:3">
      <c r="B39" s="35" t="s">
        <v>300</v>
      </c>
    </row>
    <row r="40" spans="1:3">
      <c r="B40" s="35" t="s">
        <v>301</v>
      </c>
    </row>
    <row r="41" spans="1:3">
      <c r="B41" s="35"/>
    </row>
    <row r="42" spans="1:3">
      <c r="B42" s="35" t="s">
        <v>377</v>
      </c>
    </row>
    <row r="44" spans="1:3">
      <c r="B44" s="35" t="s">
        <v>302</v>
      </c>
    </row>
    <row r="45" spans="1:3">
      <c r="B45" s="35" t="s">
        <v>303</v>
      </c>
    </row>
    <row r="46" spans="1:3">
      <c r="B46" s="35"/>
    </row>
    <row r="47" spans="1:3">
      <c r="B47" s="35" t="s">
        <v>378</v>
      </c>
    </row>
    <row r="49" spans="1:2">
      <c r="A49" s="17" t="s">
        <v>370</v>
      </c>
    </row>
    <row r="50" spans="1:2">
      <c r="B50" s="16" t="s">
        <v>296</v>
      </c>
    </row>
    <row r="51" spans="1:2">
      <c r="B51" s="35" t="s">
        <v>298</v>
      </c>
    </row>
    <row r="52" spans="1:2">
      <c r="B52" s="35" t="s">
        <v>297</v>
      </c>
    </row>
    <row r="54" spans="1:2">
      <c r="B54" s="43" t="s">
        <v>299</v>
      </c>
    </row>
    <row r="55" spans="1:2">
      <c r="B55" s="41" t="s">
        <v>304</v>
      </c>
    </row>
    <row r="56" spans="1:2">
      <c r="B56" s="41" t="s">
        <v>305</v>
      </c>
    </row>
    <row r="57" spans="1:2">
      <c r="B57" s="35"/>
    </row>
    <row r="58" spans="1:2">
      <c r="B58" s="16" t="s">
        <v>375</v>
      </c>
    </row>
    <row r="59" spans="1:2">
      <c r="B59" s="35" t="s">
        <v>379</v>
      </c>
    </row>
    <row r="60" spans="1:2">
      <c r="B60" s="35" t="s">
        <v>307</v>
      </c>
    </row>
    <row r="62" spans="1:2">
      <c r="A62" s="40" t="s">
        <v>369</v>
      </c>
      <c r="B62" s="42"/>
    </row>
    <row r="63" spans="1:2">
      <c r="A63" s="40"/>
      <c r="B63" s="41" t="s">
        <v>308</v>
      </c>
    </row>
    <row r="64" spans="1:2">
      <c r="A64" s="40"/>
      <c r="B64" s="41" t="s">
        <v>307</v>
      </c>
    </row>
    <row r="65" spans="1:2">
      <c r="A65" s="40"/>
      <c r="B65" s="41"/>
    </row>
    <row r="66" spans="1:2">
      <c r="A66" s="40" t="s">
        <v>306</v>
      </c>
      <c r="B66" s="42"/>
    </row>
    <row r="67" spans="1:2">
      <c r="A67" s="40"/>
      <c r="B67" s="41" t="s">
        <v>308</v>
      </c>
    </row>
    <row r="68" spans="1:2">
      <c r="A68" s="40"/>
      <c r="B68" s="41" t="s">
        <v>307</v>
      </c>
    </row>
    <row r="69" spans="1:2">
      <c r="B69" s="35"/>
    </row>
    <row r="70" spans="1:2">
      <c r="A70" s="17" t="s">
        <v>346</v>
      </c>
      <c r="B70" s="35"/>
    </row>
    <row r="71" spans="1:2">
      <c r="B71" s="35" t="s">
        <v>345</v>
      </c>
    </row>
    <row r="72" spans="1:2">
      <c r="B72" s="35"/>
    </row>
    <row r="73" spans="1:2">
      <c r="A73" s="17" t="s">
        <v>323</v>
      </c>
    </row>
    <row r="74" spans="1:2">
      <c r="B74" s="35" t="s">
        <v>324</v>
      </c>
    </row>
    <row r="75" spans="1:2">
      <c r="B75" s="35" t="s">
        <v>325</v>
      </c>
    </row>
    <row r="76" spans="1:2">
      <c r="B76" s="35" t="s">
        <v>326</v>
      </c>
    </row>
    <row r="77" spans="1:2">
      <c r="B77" s="35" t="s">
        <v>327</v>
      </c>
    </row>
    <row r="78" spans="1:2">
      <c r="B78" s="35" t="s">
        <v>328</v>
      </c>
    </row>
    <row r="79" spans="1:2">
      <c r="B79" s="35"/>
    </row>
    <row r="80" spans="1:2">
      <c r="A80" s="17" t="s">
        <v>329</v>
      </c>
      <c r="B80" s="35"/>
    </row>
    <row r="81" spans="1:2">
      <c r="B81" s="35" t="s">
        <v>340</v>
      </c>
    </row>
    <row r="82" spans="1:2">
      <c r="B82" s="35" t="s">
        <v>339</v>
      </c>
    </row>
    <row r="83" spans="1:2">
      <c r="B83" s="35" t="s">
        <v>347</v>
      </c>
    </row>
    <row r="84" spans="1:2">
      <c r="B84" s="35"/>
    </row>
    <row r="85" spans="1:2">
      <c r="A85" s="17" t="s">
        <v>309</v>
      </c>
    </row>
    <row r="86" spans="1:2">
      <c r="B86" s="35" t="s">
        <v>310</v>
      </c>
    </row>
    <row r="87" spans="1:2">
      <c r="B87" s="35" t="s">
        <v>335</v>
      </c>
    </row>
    <row r="88" spans="1:2">
      <c r="B88" s="35" t="s">
        <v>336</v>
      </c>
    </row>
    <row r="89" spans="1:2">
      <c r="B89" s="35" t="s">
        <v>337</v>
      </c>
    </row>
    <row r="90" spans="1:2">
      <c r="B90" s="35" t="s">
        <v>338</v>
      </c>
    </row>
    <row r="91" spans="1:2">
      <c r="B91" s="35"/>
    </row>
    <row r="92" spans="1:2">
      <c r="A92" s="17" t="s">
        <v>363</v>
      </c>
      <c r="B92" s="35"/>
    </row>
    <row r="93" spans="1:2">
      <c r="B93" s="35" t="s">
        <v>366</v>
      </c>
    </row>
    <row r="94" spans="1:2">
      <c r="B94" s="35" t="s">
        <v>364</v>
      </c>
    </row>
    <row r="96" spans="1:2">
      <c r="A96" s="17" t="s">
        <v>365</v>
      </c>
    </row>
    <row r="97" spans="1:2">
      <c r="A97" s="37" t="s">
        <v>361</v>
      </c>
      <c r="B97" s="35" t="s">
        <v>341</v>
      </c>
    </row>
    <row r="98" spans="1:2">
      <c r="A98" s="37" t="s">
        <v>362</v>
      </c>
      <c r="B98" s="38" t="s">
        <v>391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7281B-97C9-A14E-9361-0711B5459C0F}">
  <sheetPr>
    <tabColor rgb="FFC00000"/>
  </sheetPr>
  <dimension ref="A1:F5"/>
  <sheetViews>
    <sheetView workbookViewId="0">
      <selection activeCell="F6" sqref="F6"/>
    </sheetView>
  </sheetViews>
  <sheetFormatPr baseColWidth="10" defaultRowHeight="18"/>
  <cols>
    <col min="1" max="1" width="15.28515625" style="33" customWidth="1"/>
    <col min="2" max="2" width="49.28515625" style="14" customWidth="1"/>
    <col min="3" max="5" width="12.42578125" style="33" customWidth="1"/>
    <col min="6" max="6" width="90.28515625" style="14" customWidth="1"/>
  </cols>
  <sheetData>
    <row r="1" spans="1:6" ht="19">
      <c r="A1" s="4" t="s">
        <v>199</v>
      </c>
      <c r="B1" s="4" t="s">
        <v>6</v>
      </c>
      <c r="C1" s="4" t="s">
        <v>34</v>
      </c>
      <c r="D1" s="4" t="s">
        <v>358</v>
      </c>
      <c r="E1" s="4" t="s">
        <v>7</v>
      </c>
      <c r="F1" s="4" t="s">
        <v>275</v>
      </c>
    </row>
    <row r="2" spans="1:6" ht="19">
      <c r="A2" s="31" t="s">
        <v>200</v>
      </c>
      <c r="B2" s="32" t="s">
        <v>201</v>
      </c>
      <c r="C2" s="12" t="s">
        <v>330</v>
      </c>
      <c r="D2" s="12" t="s">
        <v>359</v>
      </c>
      <c r="E2" s="33" t="s">
        <v>332</v>
      </c>
      <c r="F2" s="32" t="s">
        <v>292</v>
      </c>
    </row>
    <row r="3" spans="1:6" ht="19">
      <c r="A3" s="31" t="s">
        <v>291</v>
      </c>
      <c r="B3" s="32" t="s">
        <v>290</v>
      </c>
      <c r="C3" s="12" t="s">
        <v>330</v>
      </c>
      <c r="D3" s="31"/>
      <c r="E3" s="33" t="s">
        <v>333</v>
      </c>
      <c r="F3" s="32" t="s">
        <v>293</v>
      </c>
    </row>
    <row r="4" spans="1:6" ht="19">
      <c r="A4" s="31" t="s">
        <v>360</v>
      </c>
      <c r="B4" s="32" t="s">
        <v>356</v>
      </c>
      <c r="C4" s="12" t="s">
        <v>330</v>
      </c>
      <c r="D4" s="31"/>
      <c r="E4" s="33" t="s">
        <v>357</v>
      </c>
      <c r="F4" s="32" t="s">
        <v>294</v>
      </c>
    </row>
    <row r="5" spans="1:6">
      <c r="A5" s="33">
        <v>91</v>
      </c>
      <c r="B5" s="32" t="s">
        <v>367</v>
      </c>
      <c r="C5" s="33" t="s">
        <v>331</v>
      </c>
      <c r="E5" s="33" t="s">
        <v>334</v>
      </c>
      <c r="F5" s="32" t="s">
        <v>368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F2286-0B68-CC49-8A5B-4AE08448DAD6}">
  <sheetPr>
    <tabColor theme="4" tint="0.79998168889431442"/>
    <pageSetUpPr fitToPage="1"/>
  </sheetPr>
  <dimension ref="A1:K28"/>
  <sheetViews>
    <sheetView tabSelected="1" workbookViewId="0">
      <selection activeCell="H2" sqref="H2"/>
    </sheetView>
  </sheetViews>
  <sheetFormatPr baseColWidth="10" defaultRowHeight="18"/>
  <cols>
    <col min="1" max="2" width="16.28515625" style="5" customWidth="1"/>
    <col min="3" max="3" width="19.85546875" style="5" customWidth="1"/>
    <col min="4" max="4" width="36.42578125" style="5" customWidth="1"/>
    <col min="5" max="5" width="24.42578125" style="5" customWidth="1"/>
    <col min="6" max="7" width="13.28515625" style="5" customWidth="1"/>
    <col min="8" max="8" width="19.42578125" style="5" customWidth="1"/>
    <col min="9" max="9" width="35.140625" style="5" customWidth="1"/>
    <col min="10" max="10" width="10.7109375" style="2"/>
    <col min="11" max="11" width="33.42578125" style="2" customWidth="1"/>
    <col min="12" max="16384" width="10.7109375" style="2"/>
  </cols>
  <sheetData>
    <row r="1" spans="1:11" ht="19">
      <c r="A1" s="4" t="s">
        <v>43</v>
      </c>
      <c r="B1" s="4" t="s">
        <v>5</v>
      </c>
      <c r="C1" s="4" t="s">
        <v>44</v>
      </c>
      <c r="D1" s="4" t="s">
        <v>45</v>
      </c>
      <c r="E1" s="4" t="s">
        <v>48</v>
      </c>
      <c r="F1" s="4" t="s">
        <v>70</v>
      </c>
      <c r="G1" s="4" t="s">
        <v>250</v>
      </c>
      <c r="H1" s="4" t="s">
        <v>249</v>
      </c>
      <c r="I1" s="4" t="s">
        <v>46</v>
      </c>
    </row>
    <row r="2" spans="1:11" ht="19">
      <c r="A2" s="5" t="s">
        <v>270</v>
      </c>
      <c r="B2" s="5" t="s">
        <v>270</v>
      </c>
      <c r="C2" s="5" t="s">
        <v>380</v>
      </c>
      <c r="D2" s="5" t="s">
        <v>80</v>
      </c>
      <c r="F2" s="8">
        <f>VLOOKUP(B2,'Service List'!$A:$J,8,FALSE)</f>
        <v>10</v>
      </c>
      <c r="G2" s="8"/>
      <c r="H2" s="8" t="s">
        <v>381</v>
      </c>
      <c r="I2" s="8"/>
      <c r="K2" s="23" t="s">
        <v>67</v>
      </c>
    </row>
    <row r="3" spans="1:11" ht="19">
      <c r="B3" s="5" t="s">
        <v>270</v>
      </c>
      <c r="C3" s="5" t="s">
        <v>382</v>
      </c>
      <c r="F3" s="8">
        <f>VLOOKUP(B3,'Service List'!$A:$J,8,FALSE)</f>
        <v>10</v>
      </c>
      <c r="G3" s="8"/>
      <c r="H3" s="8" t="s">
        <v>392</v>
      </c>
      <c r="I3" s="8"/>
      <c r="K3" s="2" t="s">
        <v>66</v>
      </c>
    </row>
    <row r="4" spans="1:11" ht="19">
      <c r="A4" s="5" t="s">
        <v>137</v>
      </c>
      <c r="B4" s="5" t="s">
        <v>137</v>
      </c>
      <c r="C4" s="5" t="s">
        <v>247</v>
      </c>
      <c r="D4" s="5" t="s">
        <v>279</v>
      </c>
      <c r="E4" s="8"/>
      <c r="F4" s="8">
        <f>VLOOKUP(B4,'Service List'!$A:$J,8,FALSE)</f>
        <v>30</v>
      </c>
      <c r="G4" s="8"/>
      <c r="H4" s="8" t="s">
        <v>248</v>
      </c>
      <c r="K4" s="2" t="s">
        <v>76</v>
      </c>
    </row>
    <row r="5" spans="1:11" ht="19">
      <c r="B5" s="5" t="s">
        <v>137</v>
      </c>
      <c r="C5" s="5" t="s">
        <v>383</v>
      </c>
      <c r="E5" s="5" t="s">
        <v>247</v>
      </c>
      <c r="F5" s="8">
        <f>VLOOKUP(B5,'Service List'!$A:$J,8,FALSE)</f>
        <v>30</v>
      </c>
      <c r="G5" s="8">
        <f>VLOOKUP(B5,'Service List'!$A:$J,9,FALSE)</f>
        <v>9103</v>
      </c>
      <c r="H5" s="8" t="s">
        <v>251</v>
      </c>
      <c r="I5" s="8" t="s">
        <v>182</v>
      </c>
      <c r="K5" s="2" t="s">
        <v>68</v>
      </c>
    </row>
    <row r="6" spans="1:11" ht="19">
      <c r="B6" s="5" t="s">
        <v>137</v>
      </c>
      <c r="C6" s="5" t="s">
        <v>384</v>
      </c>
      <c r="E6" s="5" t="s">
        <v>247</v>
      </c>
      <c r="F6" s="8">
        <f>VLOOKUP(B6,'Service List'!$A:$J,8,FALSE)</f>
        <v>30</v>
      </c>
      <c r="G6" s="8">
        <f>VLOOKUP(B6,'Service List'!$A:$J,9,FALSE)</f>
        <v>9103</v>
      </c>
      <c r="H6" s="8" t="s">
        <v>252</v>
      </c>
      <c r="I6" s="8" t="s">
        <v>183</v>
      </c>
      <c r="K6" s="2" t="s">
        <v>69</v>
      </c>
    </row>
    <row r="7" spans="1:11" ht="19">
      <c r="A7" s="24"/>
      <c r="B7" s="24"/>
      <c r="C7" s="24"/>
      <c r="D7" s="24"/>
      <c r="E7" s="24"/>
      <c r="F7" s="24"/>
      <c r="G7" s="24"/>
      <c r="H7" s="25"/>
      <c r="I7" s="25"/>
      <c r="K7" s="2" t="s">
        <v>78</v>
      </c>
    </row>
    <row r="8" spans="1:11" ht="19">
      <c r="A8" s="5" t="s">
        <v>33</v>
      </c>
      <c r="B8" s="5" t="s">
        <v>33</v>
      </c>
      <c r="C8" s="5" t="s">
        <v>47</v>
      </c>
      <c r="D8" s="5" t="s">
        <v>279</v>
      </c>
      <c r="F8" s="8">
        <f>VLOOKUP(B8,'Service List'!$A:$J,8,FALSE)</f>
        <v>100</v>
      </c>
      <c r="G8" s="8"/>
      <c r="H8" s="8" t="s">
        <v>312</v>
      </c>
      <c r="K8" s="2" t="s">
        <v>77</v>
      </c>
    </row>
    <row r="9" spans="1:11" ht="19">
      <c r="B9" s="5" t="s">
        <v>33</v>
      </c>
      <c r="C9" s="5" t="s">
        <v>385</v>
      </c>
      <c r="E9" s="5" t="s">
        <v>47</v>
      </c>
      <c r="F9" s="8">
        <f>VLOOKUP(B9,'Service List'!$A:$J,8,FALSE)</f>
        <v>100</v>
      </c>
      <c r="G9" s="8">
        <f>VLOOKUP(B9,'Service List'!$A:$J,9,FALSE)</f>
        <v>9111</v>
      </c>
      <c r="H9" s="8" t="s">
        <v>253</v>
      </c>
      <c r="I9" s="8" t="s">
        <v>184</v>
      </c>
    </row>
    <row r="10" spans="1:11" ht="19">
      <c r="A10" s="5" t="s">
        <v>208</v>
      </c>
      <c r="B10" s="5" t="s">
        <v>208</v>
      </c>
      <c r="C10" s="5" t="s">
        <v>211</v>
      </c>
      <c r="D10" s="5" t="s">
        <v>279</v>
      </c>
      <c r="F10" s="8">
        <f>VLOOKUP(B10,'Service List'!$A:$J,8,FALSE)</f>
        <v>110</v>
      </c>
      <c r="G10" s="8"/>
      <c r="H10" s="8" t="s">
        <v>311</v>
      </c>
    </row>
    <row r="11" spans="1:11" ht="19">
      <c r="B11" s="5" t="s">
        <v>208</v>
      </c>
      <c r="C11" s="5" t="s">
        <v>386</v>
      </c>
      <c r="E11" s="5" t="s">
        <v>211</v>
      </c>
      <c r="F11" s="8">
        <v>110</v>
      </c>
      <c r="G11" s="8">
        <v>9112</v>
      </c>
      <c r="H11" s="8" t="s">
        <v>313</v>
      </c>
    </row>
    <row r="12" spans="1:11">
      <c r="A12" s="24"/>
      <c r="B12" s="24"/>
      <c r="C12" s="24"/>
      <c r="D12" s="24"/>
      <c r="E12" s="24"/>
      <c r="F12" s="24"/>
      <c r="G12" s="24"/>
      <c r="H12" s="25"/>
      <c r="I12" s="24"/>
    </row>
    <row r="13" spans="1:11" ht="19">
      <c r="A13" s="5" t="s">
        <v>32</v>
      </c>
      <c r="B13" s="5" t="s">
        <v>32</v>
      </c>
      <c r="C13" s="5" t="s">
        <v>79</v>
      </c>
      <c r="D13" s="5" t="s">
        <v>80</v>
      </c>
      <c r="F13" s="8">
        <f>VLOOKUP(B13,'Service List'!$A:$J,8,FALSE)</f>
        <v>200</v>
      </c>
      <c r="G13" s="8"/>
      <c r="H13" s="8" t="s">
        <v>254</v>
      </c>
    </row>
    <row r="14" spans="1:11" ht="19">
      <c r="A14" s="5" t="s">
        <v>91</v>
      </c>
      <c r="B14" s="5" t="s">
        <v>91</v>
      </c>
      <c r="C14" s="5" t="s">
        <v>96</v>
      </c>
      <c r="D14" s="5" t="s">
        <v>279</v>
      </c>
      <c r="F14" s="8">
        <f>VLOOKUP(B14,'Service List'!$A:$J,8,FALSE)</f>
        <v>210</v>
      </c>
      <c r="G14" s="8"/>
      <c r="H14" s="8" t="s">
        <v>255</v>
      </c>
    </row>
    <row r="15" spans="1:11">
      <c r="A15" s="24"/>
      <c r="B15" s="24"/>
      <c r="C15" s="24"/>
      <c r="D15" s="24"/>
      <c r="E15" s="25"/>
      <c r="F15" s="25"/>
      <c r="G15" s="25"/>
      <c r="H15" s="25"/>
      <c r="I15" s="24"/>
    </row>
    <row r="16" spans="1:11" ht="19">
      <c r="A16" s="5" t="s">
        <v>163</v>
      </c>
      <c r="B16" s="5" t="s">
        <v>163</v>
      </c>
      <c r="C16" s="5" t="s">
        <v>387</v>
      </c>
      <c r="F16" s="8">
        <f>VLOOKUP(B16,'Service List'!$A:$J,8,FALSE)</f>
        <v>500</v>
      </c>
      <c r="G16" s="8">
        <f>VLOOKUP(B16,'Service List'!$A:$J,9,FALSE)</f>
        <v>8080</v>
      </c>
      <c r="H16" s="8" t="s">
        <v>256</v>
      </c>
      <c r="I16" s="8" t="s">
        <v>165</v>
      </c>
    </row>
    <row r="17" spans="1:9" ht="19">
      <c r="A17" s="5" t="s">
        <v>158</v>
      </c>
      <c r="B17" s="5" t="s">
        <v>158</v>
      </c>
      <c r="C17" s="5" t="s">
        <v>388</v>
      </c>
      <c r="F17" s="8">
        <f>VLOOKUP(B17,'Service List'!$A:$J,8,FALSE)</f>
        <v>510</v>
      </c>
      <c r="G17" s="8">
        <f>VLOOKUP(B17,'Service List'!$A:$J,9,FALSE)</f>
        <v>8761</v>
      </c>
      <c r="H17" s="8" t="s">
        <v>257</v>
      </c>
      <c r="I17" s="8" t="s">
        <v>161</v>
      </c>
    </row>
    <row r="18" spans="1:9" ht="19">
      <c r="B18" s="5" t="s">
        <v>158</v>
      </c>
      <c r="C18" s="5" t="s">
        <v>389</v>
      </c>
      <c r="F18" s="8">
        <f>VLOOKUP(B18,'Service List'!$A:$J,8,FALSE)</f>
        <v>510</v>
      </c>
      <c r="G18" s="8">
        <f>VLOOKUP(B18,'Service List'!$A:$J,9,FALSE)</f>
        <v>8761</v>
      </c>
      <c r="H18" s="8" t="s">
        <v>258</v>
      </c>
      <c r="I18" s="8" t="s">
        <v>162</v>
      </c>
    </row>
    <row r="19" spans="1:9" ht="19">
      <c r="B19" s="5" t="s">
        <v>158</v>
      </c>
      <c r="C19" s="5" t="s">
        <v>390</v>
      </c>
      <c r="F19" s="8">
        <f>VLOOKUP(B19,'Service List'!$A:$J,8,FALSE)</f>
        <v>510</v>
      </c>
      <c r="G19" s="8">
        <f>VLOOKUP(B19,'Service List'!$A:$J,9,FALSE)</f>
        <v>8761</v>
      </c>
      <c r="H19" s="8" t="s">
        <v>267</v>
      </c>
      <c r="I19" s="8" t="s">
        <v>268</v>
      </c>
    </row>
    <row r="20" spans="1:9">
      <c r="A20" s="24"/>
      <c r="B20" s="24"/>
      <c r="C20" s="24"/>
      <c r="D20" s="24"/>
      <c r="E20" s="24"/>
      <c r="F20" s="24"/>
      <c r="G20" s="24"/>
      <c r="H20" s="24"/>
      <c r="I20" s="24"/>
    </row>
    <row r="21" spans="1:9" ht="19">
      <c r="A21" s="5" t="s">
        <v>36</v>
      </c>
      <c r="B21" s="5" t="s">
        <v>42</v>
      </c>
      <c r="C21" s="5" t="s">
        <v>42</v>
      </c>
      <c r="D21" s="5" t="s">
        <v>49</v>
      </c>
      <c r="F21" s="8">
        <f>VLOOKUP(B21,'Service List'!$A:$J,8,FALSE)</f>
        <v>610</v>
      </c>
      <c r="G21" s="8"/>
      <c r="H21" s="8" t="s">
        <v>269</v>
      </c>
      <c r="I21" s="8" t="s">
        <v>185</v>
      </c>
    </row>
    <row r="22" spans="1:9" ht="19">
      <c r="B22" s="5" t="s">
        <v>42</v>
      </c>
      <c r="C22" s="5" t="s">
        <v>50</v>
      </c>
      <c r="D22" s="5" t="s">
        <v>51</v>
      </c>
      <c r="E22" s="8" t="s">
        <v>53</v>
      </c>
      <c r="F22" s="8">
        <f>VLOOKUP(B22,'Service List'!$A:$J,8,FALSE)</f>
        <v>610</v>
      </c>
      <c r="G22" s="8"/>
      <c r="H22" s="8" t="s">
        <v>259</v>
      </c>
    </row>
    <row r="23" spans="1:9" ht="19">
      <c r="A23" s="5" t="s">
        <v>54</v>
      </c>
      <c r="B23" s="5" t="s">
        <v>57</v>
      </c>
      <c r="C23" s="5" t="s">
        <v>55</v>
      </c>
      <c r="D23" s="5" t="s">
        <v>195</v>
      </c>
      <c r="F23" s="8">
        <f>VLOOKUP(B23,'Service List'!$A:$J,8,FALSE)</f>
        <v>620</v>
      </c>
      <c r="G23" s="8"/>
      <c r="H23" s="8" t="s">
        <v>260</v>
      </c>
    </row>
    <row r="24" spans="1:9" ht="19">
      <c r="B24" s="5" t="s">
        <v>56</v>
      </c>
      <c r="C24" s="5" t="s">
        <v>56</v>
      </c>
      <c r="D24" s="5" t="s">
        <v>196</v>
      </c>
      <c r="F24" s="8">
        <f>VLOOKUP(B24,'Service List'!$A:$J,8,FALSE)</f>
        <v>630</v>
      </c>
      <c r="G24" s="8"/>
      <c r="H24" s="8" t="s">
        <v>261</v>
      </c>
    </row>
    <row r="25" spans="1:9" ht="38">
      <c r="B25" s="5" t="s">
        <v>56</v>
      </c>
      <c r="C25" s="5" t="s">
        <v>186</v>
      </c>
      <c r="D25" s="5" t="s">
        <v>194</v>
      </c>
      <c r="F25" s="8">
        <f>VLOOKUP(B25,'Service List'!$A:$J,8,FALSE)</f>
        <v>630</v>
      </c>
      <c r="G25" s="8"/>
      <c r="H25" s="8" t="s">
        <v>263</v>
      </c>
      <c r="I25" s="8" t="s">
        <v>189</v>
      </c>
    </row>
    <row r="26" spans="1:9" ht="19">
      <c r="A26" s="5" t="s">
        <v>192</v>
      </c>
      <c r="B26" s="5" t="s">
        <v>262</v>
      </c>
      <c r="C26" s="5" t="s">
        <v>197</v>
      </c>
      <c r="D26" s="5" t="s">
        <v>193</v>
      </c>
      <c r="F26" s="8">
        <f>VLOOKUP(B26,'Service List'!$A:$J,8,FALSE)</f>
        <v>640</v>
      </c>
      <c r="G26" s="8"/>
      <c r="H26" s="8" t="s">
        <v>264</v>
      </c>
      <c r="I26" s="8"/>
    </row>
    <row r="27" spans="1:9" ht="38">
      <c r="A27" s="5" t="s">
        <v>62</v>
      </c>
      <c r="B27" s="5" t="s">
        <v>128</v>
      </c>
      <c r="C27" s="5" t="s">
        <v>132</v>
      </c>
      <c r="D27" s="5" t="s">
        <v>134</v>
      </c>
      <c r="F27" s="8">
        <f>VLOOKUP(B27,'Service List'!$A:$J,8,FALSE)</f>
        <v>660</v>
      </c>
      <c r="G27" s="8"/>
      <c r="H27" s="8" t="s">
        <v>265</v>
      </c>
    </row>
    <row r="28" spans="1:9" ht="57">
      <c r="B28" s="5" t="s">
        <v>128</v>
      </c>
      <c r="C28" s="5" t="s">
        <v>126</v>
      </c>
      <c r="D28" s="5" t="s">
        <v>127</v>
      </c>
      <c r="E28" s="8" t="s">
        <v>133</v>
      </c>
      <c r="F28" s="8">
        <f>VLOOKUP(B28,'Service List'!$A:$J,8,FALSE)</f>
        <v>660</v>
      </c>
      <c r="G28" s="8"/>
      <c r="H28" s="8" t="s">
        <v>266</v>
      </c>
      <c r="I28" s="8" t="s">
        <v>198</v>
      </c>
    </row>
  </sheetData>
  <phoneticPr fontId="2" type="noConversion"/>
  <conditionalFormatting sqref="A2:A1048576">
    <cfRule type="expression" dxfId="0" priority="1">
      <formula>NOT(ISBLANK(A2))</formula>
    </cfRule>
  </conditionalFormatting>
  <pageMargins left="0.7" right="0.7" top="0.75" bottom="0.75" header="0.3" footer="0.3"/>
  <pageSetup paperSize="9" scale="46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C3CD-014C-314C-8FC2-730B276FF102}">
  <sheetPr>
    <tabColor theme="8" tint="-0.249977111117893"/>
  </sheetPr>
  <dimension ref="A1:D44"/>
  <sheetViews>
    <sheetView workbookViewId="0">
      <selection activeCell="B3" sqref="B3"/>
    </sheetView>
  </sheetViews>
  <sheetFormatPr baseColWidth="10" defaultRowHeight="18"/>
  <cols>
    <col min="1" max="1" width="24.5703125" style="5" customWidth="1"/>
    <col min="2" max="3" width="31.28515625" style="5" customWidth="1"/>
    <col min="4" max="4" width="71" style="5" customWidth="1"/>
    <col min="5" max="16384" width="10.7109375" style="2"/>
  </cols>
  <sheetData>
    <row r="1" spans="1:4" ht="19">
      <c r="A1" s="4" t="s">
        <v>41</v>
      </c>
      <c r="B1" s="4" t="s">
        <v>146</v>
      </c>
      <c r="C1" s="4" t="s">
        <v>145</v>
      </c>
      <c r="D1" s="4" t="s">
        <v>6</v>
      </c>
    </row>
    <row r="2" spans="1:4" ht="38">
      <c r="A2" s="5" t="s">
        <v>98</v>
      </c>
      <c r="B2" s="5" t="str" cm="1">
        <f t="array" ref="B2">IF(ISTEXT(A2),IFERROR("- " &amp; _xlfn.TEXTJOIN(CHAR(10) &amp; "- ", TRUE,_xlfn.CHOOSECOLS(_xlfn._xlws.FILTER('Service List'!A:J,ISNUMBER(SEARCH(Topic!A2,SUBSTITUTE('Service List'!E:E,"- ","")))),3)),""),"")</f>
        <v>- Access Point</v>
      </c>
      <c r="C2" s="5" t="str" cm="1">
        <f t="array" ref="C2">IF(ISTEXT(A2),IFERROR("- " &amp; _xlfn.TEXTJOIN(CHAR(10) &amp; "- ", TRUE,_xlfn.CHOOSECOLS(_xlfn._xlws.FILTER('Service List'!A:J,ISNUMBER(SEARCH(Topic!A2,SUBSTITUTE('Service List'!F:F,"- ","")))),3)),""),"")</f>
        <v>- Access Point Logger
- Managed Object Manager</v>
      </c>
      <c r="D2" s="8" t="s">
        <v>100</v>
      </c>
    </row>
    <row r="3" spans="1:4" ht="95">
      <c r="A3" s="5" t="s">
        <v>124</v>
      </c>
      <c r="B3" s="5" t="str" cm="1">
        <f t="array" ref="B3">IF(ISTEXT(A3),IFERROR("- " &amp; _xlfn.TEXTJOIN(CHAR(10) &amp; "- ", TRUE,_xlfn.CHOOSECOLS(_xlfn._xlws.FILTER('Service List'!A:J,ISNUMBER(SEARCH(Topic!A3,SUBSTITUTE('Service List'!E:E,"- ","")))),3)),""),"")</f>
        <v>- Managed Object Manager
- Load Balancer</v>
      </c>
      <c r="C3" s="5" t="str" cm="1">
        <f t="array" ref="C3">IF(ISTEXT(A3),IFERROR("- " &amp; _xlfn.TEXTJOIN(CHAR(10) &amp; "- ", TRUE,_xlfn.CHOOSECOLS(_xlfn._xlws.FILTER('Service List'!A:J,ISNUMBER(SEARCH(Topic!A3,SUBSTITUTE('Service List'!F:F,"- ","")))),3)),""),"")</f>
        <v>- Event Logger
- Event Analyzer
- Metric Manager
- Request Controller
- Information Publisher</v>
      </c>
      <c r="D3" s="8" t="s">
        <v>99</v>
      </c>
    </row>
    <row r="4" spans="1:4" ht="57">
      <c r="A4" s="5" t="s">
        <v>155</v>
      </c>
      <c r="B4" s="5" t="str" cm="1">
        <f t="array" ref="B4">IF(ISTEXT(A4),IFERROR("- " &amp; _xlfn.TEXTJOIN(CHAR(10) &amp; "- ", TRUE,_xlfn.CHOOSECOLS(_xlfn._xlws.FILTER('Service List'!A:J,ISNUMBER(SEARCH(Topic!A4,SUBSTITUTE('Service List'!E:E,"- ","")))),3)),""),"")</f>
        <v/>
      </c>
      <c r="C4" s="5" t="str" cm="1">
        <f t="array" ref="C4">IF(ISTEXT(A4),IFERROR("- " &amp; _xlfn.TEXTJOIN(CHAR(10) &amp; "- ", TRUE,_xlfn.CHOOSECOLS(_xlfn._xlws.FILTER('Service List'!A:J,ISNUMBER(SEARCH(Topic!A4,SUBSTITUTE('Service List'!F:F,"- ","")))),3)),""),"")</f>
        <v/>
      </c>
      <c r="D4" s="8" t="s">
        <v>156</v>
      </c>
    </row>
    <row r="5" spans="1:4" ht="19">
      <c r="B5" s="5" t="str" cm="1">
        <f t="array" ref="B5">IF(ISTEXT(A5),IFERROR("- " &amp; _xlfn.TEXTJOIN(CHAR(10) &amp; "- ", TRUE,_xlfn.CHOOSECOLS(_xlfn._xlws.FILTER('Service List'!A:J,ISNUMBER(SEARCH(Topic!A5,SUBSTITUTE('Service List'!E:E,"- ","")))),4)),""),"")</f>
        <v/>
      </c>
      <c r="C5" s="5" t="str" cm="1">
        <f t="array" ref="C5">IF(ISTEXT(A5),IFERROR("- " &amp; _xlfn.TEXTJOIN(CHAR(10) &amp; "- ", TRUE,_xlfn.CHOOSECOLS(_xlfn._xlws.FILTER('Service List'!A:J,ISNUMBER(SEARCH(Topic!A5,SUBSTITUTE('Service List'!F:F,"- ","")))),4)),""),"")</f>
        <v/>
      </c>
    </row>
    <row r="6" spans="1:4" ht="19">
      <c r="B6" s="5" t="str" cm="1">
        <f t="array" ref="B6">IF(ISTEXT(A6),IFERROR("- " &amp; _xlfn.TEXTJOIN(CHAR(10) &amp; "- ", TRUE,_xlfn.CHOOSECOLS(_xlfn._xlws.FILTER('Service List'!A:J,ISNUMBER(SEARCH(Topic!A6,SUBSTITUTE('Service List'!E:E,"- ","")))),4)),""),"")</f>
        <v/>
      </c>
      <c r="C6" s="5" t="str" cm="1">
        <f t="array" ref="C6">IF(ISTEXT(A6),IFERROR("- " &amp; _xlfn.TEXTJOIN(CHAR(10) &amp; "- ", TRUE,_xlfn.CHOOSECOLS(_xlfn._xlws.FILTER('Service List'!A:J,ISNUMBER(SEARCH(Topic!A6,SUBSTITUTE('Service List'!F:F,"- ","")))),4)),""),"")</f>
        <v/>
      </c>
    </row>
    <row r="7" spans="1:4" ht="19">
      <c r="B7" s="5" t="str" cm="1">
        <f t="array" ref="B7">IF(ISTEXT(A7),IFERROR("- " &amp; _xlfn.TEXTJOIN(CHAR(10) &amp; "- ", TRUE,_xlfn.CHOOSECOLS(_xlfn._xlws.FILTER('Service List'!A:J,ISNUMBER(SEARCH(Topic!A7,SUBSTITUTE('Service List'!E:E,"- ","")))),4)),""),"")</f>
        <v/>
      </c>
      <c r="C7" s="5" t="str" cm="1">
        <f t="array" ref="C7">IF(ISTEXT(A7),IFERROR("- " &amp; _xlfn.TEXTJOIN(CHAR(10) &amp; "- ", TRUE,_xlfn.CHOOSECOLS(_xlfn._xlws.FILTER('Service List'!A:J,ISNUMBER(SEARCH(Topic!A7,SUBSTITUTE('Service List'!F:F,"- ","")))),4)),""),"")</f>
        <v/>
      </c>
    </row>
    <row r="8" spans="1:4" ht="19">
      <c r="B8" s="5" t="str" cm="1">
        <f t="array" ref="B8">IF(ISTEXT(A8),IFERROR("- " &amp; _xlfn.TEXTJOIN(CHAR(10) &amp; "- ", TRUE,_xlfn.CHOOSECOLS(_xlfn._xlws.FILTER('Service List'!A:J,ISNUMBER(SEARCH(Topic!A8,SUBSTITUTE('Service List'!E:E,"- ","")))),4)),""),"")</f>
        <v/>
      </c>
      <c r="C8" s="5" t="str" cm="1">
        <f t="array" ref="C8">IF(ISTEXT(A8),IFERROR("- " &amp; _xlfn.TEXTJOIN(CHAR(10) &amp; "- ", TRUE,_xlfn.CHOOSECOLS(_xlfn._xlws.FILTER('Service List'!A:J,ISNUMBER(SEARCH(Topic!A8,SUBSTITUTE('Service List'!F:F,"- ","")))),4)),""),"")</f>
        <v/>
      </c>
    </row>
    <row r="9" spans="1:4" ht="19">
      <c r="B9" s="5" t="str" cm="1">
        <f t="array" ref="B9">IF(ISTEXT(A9),IFERROR("- " &amp; _xlfn.TEXTJOIN(CHAR(10) &amp; "- ", TRUE,_xlfn.CHOOSECOLS(_xlfn._xlws.FILTER('Service List'!A:J,ISNUMBER(SEARCH(Topic!A9,SUBSTITUTE('Service List'!E:E,"- ","")))),4)),""),"")</f>
        <v/>
      </c>
      <c r="C9" s="5" t="str" cm="1">
        <f t="array" ref="C9">IF(ISTEXT(A9),IFERROR("- " &amp; _xlfn.TEXTJOIN(CHAR(10) &amp; "- ", TRUE,_xlfn.CHOOSECOLS(_xlfn._xlws.FILTER('Service List'!A:J,ISNUMBER(SEARCH(Topic!A9,SUBSTITUTE('Service List'!F:F,"- ","")))),4)),""),"")</f>
        <v/>
      </c>
    </row>
    <row r="10" spans="1:4" ht="19">
      <c r="B10" s="5" t="str" cm="1">
        <f t="array" ref="B10">IF(ISTEXT(A10),IFERROR("- " &amp; _xlfn.TEXTJOIN(CHAR(10) &amp; "- ", TRUE,_xlfn.CHOOSECOLS(_xlfn._xlws.FILTER('Service List'!A:J,ISNUMBER(SEARCH(Topic!A10,SUBSTITUTE('Service List'!E:E,"- ","")))),4)),""),"")</f>
        <v/>
      </c>
      <c r="C10" s="5" t="str" cm="1">
        <f t="array" ref="C10">IF(ISTEXT(A10),IFERROR("- " &amp; _xlfn.TEXTJOIN(CHAR(10) &amp; "- ", TRUE,_xlfn.CHOOSECOLS(_xlfn._xlws.FILTER('Service List'!A:J,ISNUMBER(SEARCH(Topic!A10,SUBSTITUTE('Service List'!F:F,"- ","")))),4)),""),"")</f>
        <v/>
      </c>
    </row>
    <row r="11" spans="1:4" ht="19">
      <c r="B11" s="5" t="str" cm="1">
        <f t="array" ref="B11">IF(ISTEXT(A11),IFERROR("- " &amp; _xlfn.TEXTJOIN(CHAR(10) &amp; "- ", TRUE,_xlfn.CHOOSECOLS(_xlfn._xlws.FILTER('Service List'!A:J,ISNUMBER(SEARCH(Topic!A11,SUBSTITUTE('Service List'!E:E,"- ","")))),4)),""),"")</f>
        <v/>
      </c>
      <c r="C11" s="5" t="str" cm="1">
        <f t="array" ref="C11">IF(ISTEXT(A11),IFERROR("- " &amp; _xlfn.TEXTJOIN(CHAR(10) &amp; "- ", TRUE,_xlfn.CHOOSECOLS(_xlfn._xlws.FILTER('Service List'!A:J,ISNUMBER(SEARCH(Topic!A11,SUBSTITUTE('Service List'!F:F,"- ","")))),4)),""),"")</f>
        <v/>
      </c>
    </row>
    <row r="12" spans="1:4" ht="19">
      <c r="B12" s="5" t="str" cm="1">
        <f t="array" ref="B12">IF(ISTEXT(A12),IFERROR("- " &amp; _xlfn.TEXTJOIN(CHAR(10) &amp; "- ", TRUE,_xlfn.CHOOSECOLS(_xlfn._xlws.FILTER('Service List'!A:J,ISNUMBER(SEARCH(Topic!A12,SUBSTITUTE('Service List'!E:E,"- ","")))),4)),""),"")</f>
        <v/>
      </c>
      <c r="C12" s="5" t="str" cm="1">
        <f t="array" ref="C12">IF(ISTEXT(A12),IFERROR("- " &amp; _xlfn.TEXTJOIN(CHAR(10) &amp; "- ", TRUE,_xlfn.CHOOSECOLS(_xlfn._xlws.FILTER('Service List'!A:J,ISNUMBER(SEARCH(Topic!A12,SUBSTITUTE('Service List'!F:F,"- ","")))),4)),""),"")</f>
        <v/>
      </c>
    </row>
    <row r="13" spans="1:4" ht="19">
      <c r="B13" s="5" t="str" cm="1">
        <f t="array" ref="B13">IF(ISTEXT(A13),IFERROR("- " &amp; _xlfn.TEXTJOIN(CHAR(10) &amp; "- ", TRUE,_xlfn.CHOOSECOLS(_xlfn._xlws.FILTER('Service List'!A:J,ISNUMBER(SEARCH(Topic!A13,SUBSTITUTE('Service List'!E:E,"- ","")))),4)),""),"")</f>
        <v/>
      </c>
      <c r="C13" s="5" t="str" cm="1">
        <f t="array" ref="C13">IF(ISTEXT(A13),IFERROR("- " &amp; _xlfn.TEXTJOIN(CHAR(10) &amp; "- ", TRUE,_xlfn.CHOOSECOLS(_xlfn._xlws.FILTER('Service List'!A:J,ISNUMBER(SEARCH(Topic!A13,SUBSTITUTE('Service List'!F:F,"- ","")))),4)),""),"")</f>
        <v/>
      </c>
    </row>
    <row r="14" spans="1:4" ht="19">
      <c r="B14" s="5" t="str" cm="1">
        <f t="array" ref="B14">IF(ISTEXT(A14),IFERROR("- " &amp; _xlfn.TEXTJOIN(CHAR(10) &amp; "- ", TRUE,_xlfn.CHOOSECOLS(_xlfn._xlws.FILTER('Service List'!A:J,ISNUMBER(SEARCH(Topic!A14,SUBSTITUTE('Service List'!E:E,"- ","")))),4)),""),"")</f>
        <v/>
      </c>
      <c r="C14" s="5" t="str" cm="1">
        <f t="array" ref="C14">IF(ISTEXT(A14),IFERROR("- " &amp; _xlfn.TEXTJOIN(CHAR(10) &amp; "- ", TRUE,_xlfn.CHOOSECOLS(_xlfn._xlws.FILTER('Service List'!A:J,ISNUMBER(SEARCH(Topic!A14,SUBSTITUTE('Service List'!F:F,"- ","")))),4)),""),"")</f>
        <v/>
      </c>
    </row>
    <row r="15" spans="1:4" ht="19">
      <c r="B15" s="5" t="str" cm="1">
        <f t="array" ref="B15">IF(ISTEXT(A15),IFERROR("- " &amp; _xlfn.TEXTJOIN(CHAR(10) &amp; "- ", TRUE,_xlfn.CHOOSECOLS(_xlfn._xlws.FILTER('Service List'!A:J,ISNUMBER(SEARCH(Topic!A15,SUBSTITUTE('Service List'!E:E,"- ","")))),4)),""),"")</f>
        <v/>
      </c>
      <c r="C15" s="5" t="str" cm="1">
        <f t="array" ref="C15">IF(ISTEXT(A15),IFERROR("- " &amp; _xlfn.TEXTJOIN(CHAR(10) &amp; "- ", TRUE,_xlfn.CHOOSECOLS(_xlfn._xlws.FILTER('Service List'!A:J,ISNUMBER(SEARCH(Topic!A15,SUBSTITUTE('Service List'!F:F,"- ","")))),4)),""),"")</f>
        <v/>
      </c>
    </row>
    <row r="16" spans="1:4" ht="19">
      <c r="B16" s="5" t="str" cm="1">
        <f t="array" ref="B16">IF(ISTEXT(A16),IFERROR("- " &amp; _xlfn.TEXTJOIN(CHAR(10) &amp; "- ", TRUE,_xlfn.CHOOSECOLS(_xlfn._xlws.FILTER('Service List'!A:J,ISNUMBER(SEARCH(Topic!A16,SUBSTITUTE('Service List'!E:E,"- ","")))),4)),""),"")</f>
        <v/>
      </c>
      <c r="C16" s="5" t="str" cm="1">
        <f t="array" ref="C16">IF(ISTEXT(A16),IFERROR("- " &amp; _xlfn.TEXTJOIN(CHAR(10) &amp; "- ", TRUE,_xlfn.CHOOSECOLS(_xlfn._xlws.FILTER('Service List'!A:J,ISNUMBER(SEARCH(Topic!A16,SUBSTITUTE('Service List'!F:F,"- ","")))),4)),""),"")</f>
        <v/>
      </c>
    </row>
    <row r="17" spans="2:3" ht="19">
      <c r="B17" s="5" t="str" cm="1">
        <f t="array" ref="B17">IF(ISTEXT(A17),IFERROR("- " &amp; _xlfn.TEXTJOIN(CHAR(10) &amp; "- ", TRUE,_xlfn.CHOOSECOLS(_xlfn._xlws.FILTER('Service List'!A:J,ISNUMBER(SEARCH(Topic!A17,SUBSTITUTE('Service List'!E:E,"- ","")))),4)),""),"")</f>
        <v/>
      </c>
      <c r="C17" s="5" t="str" cm="1">
        <f t="array" ref="C17">IF(ISTEXT(A17),IFERROR("- " &amp; _xlfn.TEXTJOIN(CHAR(10) &amp; "- ", TRUE,_xlfn.CHOOSECOLS(_xlfn._xlws.FILTER('Service List'!A:J,ISNUMBER(SEARCH(Topic!A17,SUBSTITUTE('Service List'!F:F,"- ","")))),4)),""),"")</f>
        <v/>
      </c>
    </row>
    <row r="18" spans="2:3" ht="19">
      <c r="B18" s="5" t="str" cm="1">
        <f t="array" ref="B18">IF(ISTEXT(A18),IFERROR("- " &amp; _xlfn.TEXTJOIN(CHAR(10) &amp; "- ", TRUE,_xlfn.CHOOSECOLS(_xlfn._xlws.FILTER('Service List'!A:J,ISNUMBER(SEARCH(Topic!A18,SUBSTITUTE('Service List'!E:E,"- ","")))),4)),""),"")</f>
        <v/>
      </c>
      <c r="C18" s="5" t="str" cm="1">
        <f t="array" ref="C18">IF(ISTEXT(A18),IFERROR("- " &amp; _xlfn.TEXTJOIN(CHAR(10) &amp; "- ", TRUE,_xlfn.CHOOSECOLS(_xlfn._xlws.FILTER('Service List'!A:J,ISNUMBER(SEARCH(Topic!A18,SUBSTITUTE('Service List'!F:F,"- ","")))),4)),""),"")</f>
        <v/>
      </c>
    </row>
    <row r="19" spans="2:3" ht="19">
      <c r="B19" s="5" t="str" cm="1">
        <f t="array" ref="B19">IF(ISTEXT(A19),IFERROR("- " &amp; _xlfn.TEXTJOIN(CHAR(10) &amp; "- ", TRUE,_xlfn.CHOOSECOLS(_xlfn._xlws.FILTER('Service List'!A:J,ISNUMBER(SEARCH(Topic!A19,SUBSTITUTE('Service List'!E:E,"- ","")))),4)),""),"")</f>
        <v/>
      </c>
      <c r="C19" s="5" t="str" cm="1">
        <f t="array" ref="C19">IF(ISTEXT(A19),IFERROR("- " &amp; _xlfn.TEXTJOIN(CHAR(10) &amp; "- ", TRUE,_xlfn.CHOOSECOLS(_xlfn._xlws.FILTER('Service List'!A:J,ISNUMBER(SEARCH(Topic!A19,SUBSTITUTE('Service List'!F:F,"- ","")))),4)),""),"")</f>
        <v/>
      </c>
    </row>
    <row r="20" spans="2:3" ht="19">
      <c r="B20" s="5" t="str" cm="1">
        <f t="array" ref="B20">IF(ISTEXT(A20),IFERROR("- " &amp; _xlfn.TEXTJOIN(CHAR(10) &amp; "- ", TRUE,_xlfn.CHOOSECOLS(_xlfn._xlws.FILTER('Service List'!A:J,ISNUMBER(SEARCH(Topic!A20,SUBSTITUTE('Service List'!E:E,"- ","")))),4)),""),"")</f>
        <v/>
      </c>
      <c r="C20" s="5" t="str" cm="1">
        <f t="array" ref="C20">IF(ISTEXT(A20),IFERROR("- " &amp; _xlfn.TEXTJOIN(CHAR(10) &amp; "- ", TRUE,_xlfn.CHOOSECOLS(_xlfn._xlws.FILTER('Service List'!A:J,ISNUMBER(SEARCH(Topic!A20,SUBSTITUTE('Service List'!F:F,"- ","")))),4)),""),"")</f>
        <v/>
      </c>
    </row>
    <row r="21" spans="2:3" ht="19">
      <c r="B21" s="5" t="str" cm="1">
        <f t="array" ref="B21">IF(ISTEXT(A21),IFERROR("- " &amp; _xlfn.TEXTJOIN(CHAR(10) &amp; "- ", TRUE,_xlfn.CHOOSECOLS(_xlfn._xlws.FILTER('Service List'!A:J,ISNUMBER(SEARCH(Topic!A21,SUBSTITUTE('Service List'!E:E,"- ","")))),4)),""),"")</f>
        <v/>
      </c>
      <c r="C21" s="5" t="str" cm="1">
        <f t="array" ref="C21">IF(ISTEXT(A21),IFERROR("- " &amp; _xlfn.TEXTJOIN(CHAR(10) &amp; "- ", TRUE,_xlfn.CHOOSECOLS(_xlfn._xlws.FILTER('Service List'!A:J,ISNUMBER(SEARCH(Topic!A21,SUBSTITUTE('Service List'!F:F,"- ","")))),4)),""),"")</f>
        <v/>
      </c>
    </row>
    <row r="22" spans="2:3" ht="19">
      <c r="B22" s="5" t="str" cm="1">
        <f t="array" ref="B22">IF(ISTEXT(A22),IFERROR("- " &amp; _xlfn.TEXTJOIN(CHAR(10) &amp; "- ", TRUE,_xlfn.CHOOSECOLS(_xlfn._xlws.FILTER('Service List'!A:J,ISNUMBER(SEARCH(Topic!A22,SUBSTITUTE('Service List'!E:E,"- ","")))),4)),""),"")</f>
        <v/>
      </c>
      <c r="C22" s="5" t="str" cm="1">
        <f t="array" ref="C22">IF(ISTEXT(A22),IFERROR("- " &amp; _xlfn.TEXTJOIN(CHAR(10) &amp; "- ", TRUE,_xlfn.CHOOSECOLS(_xlfn._xlws.FILTER('Service List'!A:J,ISNUMBER(SEARCH(Topic!A22,SUBSTITUTE('Service List'!F:F,"- ","")))),4)),""),"")</f>
        <v/>
      </c>
    </row>
    <row r="23" spans="2:3" ht="19">
      <c r="B23" s="5" t="str" cm="1">
        <f t="array" ref="B23">IF(ISTEXT(A23),IFERROR("- " &amp; _xlfn.TEXTJOIN(CHAR(10) &amp; "- ", TRUE,_xlfn.CHOOSECOLS(_xlfn._xlws.FILTER('Service List'!A:J,ISNUMBER(SEARCH(Topic!A23,SUBSTITUTE('Service List'!E:E,"- ","")))),4)),""),"")</f>
        <v/>
      </c>
      <c r="C23" s="5" t="str" cm="1">
        <f t="array" ref="C23">IF(ISTEXT(A23),IFERROR("- " &amp; _xlfn.TEXTJOIN(CHAR(10) &amp; "- ", TRUE,_xlfn.CHOOSECOLS(_xlfn._xlws.FILTER('Service List'!A:J,ISNUMBER(SEARCH(Topic!A23,SUBSTITUTE('Service List'!F:F,"- ","")))),4)),""),"")</f>
        <v/>
      </c>
    </row>
    <row r="24" spans="2:3" ht="19">
      <c r="B24" s="5" t="str" cm="1">
        <f t="array" ref="B24">IF(ISTEXT(A24),IFERROR("- " &amp; _xlfn.TEXTJOIN(CHAR(10) &amp; "- ", TRUE,_xlfn.CHOOSECOLS(_xlfn._xlws.FILTER('Service List'!A:J,ISNUMBER(SEARCH(Topic!A24,SUBSTITUTE('Service List'!E:E,"- ","")))),4)),""),"")</f>
        <v/>
      </c>
      <c r="C24" s="5" t="str" cm="1">
        <f t="array" ref="C24">IF(ISTEXT(A24),IFERROR("- " &amp; _xlfn.TEXTJOIN(CHAR(10) &amp; "- ", TRUE,_xlfn.CHOOSECOLS(_xlfn._xlws.FILTER('Service List'!A:J,ISNUMBER(SEARCH(Topic!A24,SUBSTITUTE('Service List'!F:F,"- ","")))),4)),""),"")</f>
        <v/>
      </c>
    </row>
    <row r="25" spans="2:3" ht="19">
      <c r="B25" s="5" t="str" cm="1">
        <f t="array" ref="B25">IF(ISTEXT(A25),IFERROR("- " &amp; _xlfn.TEXTJOIN(CHAR(10) &amp; "- ", TRUE,_xlfn.CHOOSECOLS(_xlfn._xlws.FILTER('Service List'!A:J,ISNUMBER(SEARCH(Topic!A25,SUBSTITUTE('Service List'!E:E,"- ","")))),4)),""),"")</f>
        <v/>
      </c>
      <c r="C25" s="5" t="str" cm="1">
        <f t="array" ref="C25">IF(ISTEXT(A25),IFERROR("- " &amp; _xlfn.TEXTJOIN(CHAR(10) &amp; "- ", TRUE,_xlfn.CHOOSECOLS(_xlfn._xlws.FILTER('Service List'!A:J,ISNUMBER(SEARCH(Topic!A25,SUBSTITUTE('Service List'!F:F,"- ","")))),4)),""),"")</f>
        <v/>
      </c>
    </row>
    <row r="26" spans="2:3" ht="19">
      <c r="B26" s="5" t="str" cm="1">
        <f t="array" ref="B26">IF(ISTEXT(A26),IFERROR("- " &amp; _xlfn.TEXTJOIN(CHAR(10) &amp; "- ", TRUE,_xlfn.CHOOSECOLS(_xlfn._xlws.FILTER('Service List'!A:J,ISNUMBER(SEARCH(Topic!A26,SUBSTITUTE('Service List'!E:E,"- ","")))),4)),""),"")</f>
        <v/>
      </c>
      <c r="C26" s="5" t="str" cm="1">
        <f t="array" ref="C26">IF(ISTEXT(A26),IFERROR("- " &amp; _xlfn.TEXTJOIN(CHAR(10) &amp; "- ", TRUE,_xlfn.CHOOSECOLS(_xlfn._xlws.FILTER('Service List'!A:J,ISNUMBER(SEARCH(Topic!A26,SUBSTITUTE('Service List'!F:F,"- ","")))),4)),""),"")</f>
        <v/>
      </c>
    </row>
    <row r="27" spans="2:3" ht="19">
      <c r="B27" s="5" t="str" cm="1">
        <f t="array" ref="B27">IF(ISTEXT(A27),IFERROR("- " &amp; _xlfn.TEXTJOIN(CHAR(10) &amp; "- ", TRUE,_xlfn.CHOOSECOLS(_xlfn._xlws.FILTER('Service List'!A:J,ISNUMBER(SEARCH(Topic!A27,SUBSTITUTE('Service List'!E:E,"- ","")))),4)),""),"")</f>
        <v/>
      </c>
      <c r="C27" s="5" t="str" cm="1">
        <f t="array" ref="C27">IF(ISTEXT(A27),IFERROR("- " &amp; _xlfn.TEXTJOIN(CHAR(10) &amp; "- ", TRUE,_xlfn.CHOOSECOLS(_xlfn._xlws.FILTER('Service List'!A:J,ISNUMBER(SEARCH(Topic!A27,SUBSTITUTE('Service List'!F:F,"- ","")))),4)),""),"")</f>
        <v/>
      </c>
    </row>
    <row r="28" spans="2:3" ht="19">
      <c r="B28" s="5" t="str" cm="1">
        <f t="array" ref="B28">IF(ISTEXT(A28),IFERROR("- " &amp; _xlfn.TEXTJOIN(CHAR(10) &amp; "- ", TRUE,_xlfn.CHOOSECOLS(_xlfn._xlws.FILTER('Service List'!A:J,ISNUMBER(SEARCH(Topic!A28,SUBSTITUTE('Service List'!E:E,"- ","")))),4)),""),"")</f>
        <v/>
      </c>
      <c r="C28" s="5" t="str" cm="1">
        <f t="array" ref="C28">IF(ISTEXT(A28),IFERROR("- " &amp; _xlfn.TEXTJOIN(CHAR(10) &amp; "- ", TRUE,_xlfn.CHOOSECOLS(_xlfn._xlws.FILTER('Service List'!A:J,ISNUMBER(SEARCH(Topic!A28,SUBSTITUTE('Service List'!F:F,"- ","")))),4)),""),"")</f>
        <v/>
      </c>
    </row>
    <row r="29" spans="2:3" ht="19">
      <c r="B29" s="5" t="str" cm="1">
        <f t="array" ref="B29">IF(ISTEXT(A29),IFERROR("- " &amp; _xlfn.TEXTJOIN(CHAR(10) &amp; "- ", TRUE,_xlfn.CHOOSECOLS(_xlfn._xlws.FILTER('Service List'!A:J,ISNUMBER(SEARCH(Topic!A29,SUBSTITUTE('Service List'!E:E,"- ","")))),4)),""),"")</f>
        <v/>
      </c>
      <c r="C29" s="5" t="str" cm="1">
        <f t="array" ref="C29">IF(ISTEXT(A29),IFERROR("- " &amp; _xlfn.TEXTJOIN(CHAR(10) &amp; "- ", TRUE,_xlfn.CHOOSECOLS(_xlfn._xlws.FILTER('Service List'!A:J,ISNUMBER(SEARCH(Topic!A29,SUBSTITUTE('Service List'!F:F,"- ","")))),4)),""),"")</f>
        <v/>
      </c>
    </row>
    <row r="30" spans="2:3" ht="19">
      <c r="B30" s="5" t="str" cm="1">
        <f t="array" ref="B30">IF(ISTEXT(A30),IFERROR("- " &amp; _xlfn.TEXTJOIN(CHAR(10) &amp; "- ", TRUE,_xlfn.CHOOSECOLS(_xlfn._xlws.FILTER('Service List'!A:J,ISNUMBER(SEARCH(Topic!A30,SUBSTITUTE('Service List'!E:E,"- ","")))),4)),""),"")</f>
        <v/>
      </c>
      <c r="C30" s="5" t="str" cm="1">
        <f t="array" ref="C30">IF(ISTEXT(A30),IFERROR("- " &amp; _xlfn.TEXTJOIN(CHAR(10) &amp; "- ", TRUE,_xlfn.CHOOSECOLS(_xlfn._xlws.FILTER('Service List'!A:J,ISNUMBER(SEARCH(Topic!A30,SUBSTITUTE('Service List'!F:F,"- ","")))),4)),""),"")</f>
        <v/>
      </c>
    </row>
    <row r="31" spans="2:3" ht="19">
      <c r="B31" s="5" t="str" cm="1">
        <f t="array" ref="B31">IF(ISTEXT(A31),IFERROR("- " &amp; _xlfn.TEXTJOIN(CHAR(10) &amp; "- ", TRUE,_xlfn.CHOOSECOLS(_xlfn._xlws.FILTER('Service List'!A:J,ISNUMBER(SEARCH(Topic!A31,SUBSTITUTE('Service List'!E:E,"- ","")))),4)),""),"")</f>
        <v/>
      </c>
      <c r="C31" s="5" t="str" cm="1">
        <f t="array" ref="C31">IF(ISTEXT(A31),IFERROR("- " &amp; _xlfn.TEXTJOIN(CHAR(10) &amp; "- ", TRUE,_xlfn.CHOOSECOLS(_xlfn._xlws.FILTER('Service List'!A:J,ISNUMBER(SEARCH(Topic!A31,SUBSTITUTE('Service List'!F:F,"- ","")))),4)),""),"")</f>
        <v/>
      </c>
    </row>
    <row r="32" spans="2:3" ht="19">
      <c r="B32" s="5" t="str" cm="1">
        <f t="array" ref="B32">IF(ISTEXT(A32),IFERROR("- " &amp; _xlfn.TEXTJOIN(CHAR(10) &amp; "- ", TRUE,_xlfn.CHOOSECOLS(_xlfn._xlws.FILTER('Service List'!A:J,ISNUMBER(SEARCH(Topic!A32,SUBSTITUTE('Service List'!E:E,"- ","")))),4)),""),"")</f>
        <v/>
      </c>
      <c r="C32" s="5" t="str" cm="1">
        <f t="array" ref="C32">IF(ISTEXT(A32),IFERROR("- " &amp; _xlfn.TEXTJOIN(CHAR(10) &amp; "- ", TRUE,_xlfn.CHOOSECOLS(_xlfn._xlws.FILTER('Service List'!A:J,ISNUMBER(SEARCH(Topic!A32,SUBSTITUTE('Service List'!F:F,"- ","")))),4)),""),"")</f>
        <v/>
      </c>
    </row>
    <row r="33" spans="2:3" ht="19">
      <c r="B33" s="5" t="str" cm="1">
        <f t="array" ref="B33">IF(ISTEXT(A33),IFERROR("- " &amp; _xlfn.TEXTJOIN(CHAR(10) &amp; "- ", TRUE,_xlfn.CHOOSECOLS(_xlfn._xlws.FILTER('Service List'!A:J,ISNUMBER(SEARCH(Topic!A33,SUBSTITUTE('Service List'!E:E,"- ","")))),4)),""),"")</f>
        <v/>
      </c>
      <c r="C33" s="5" t="str" cm="1">
        <f t="array" ref="C33">IF(ISTEXT(A33),IFERROR("- " &amp; _xlfn.TEXTJOIN(CHAR(10) &amp; "- ", TRUE,_xlfn.CHOOSECOLS(_xlfn._xlws.FILTER('Service List'!A:J,ISNUMBER(SEARCH(Topic!A33,SUBSTITUTE('Service List'!F:F,"- ","")))),4)),""),"")</f>
        <v/>
      </c>
    </row>
    <row r="34" spans="2:3" ht="19">
      <c r="B34" s="5" t="str" cm="1">
        <f t="array" ref="B34">IF(ISTEXT(A34),IFERROR("- " &amp; _xlfn.TEXTJOIN(CHAR(10) &amp; "- ", TRUE,_xlfn.CHOOSECOLS(_xlfn._xlws.FILTER('Service List'!A:J,ISNUMBER(SEARCH(Topic!A34,SUBSTITUTE('Service List'!E:E,"- ","")))),4)),""),"")</f>
        <v/>
      </c>
      <c r="C34" s="5" t="str" cm="1">
        <f t="array" ref="C34">IF(ISTEXT(A34),IFERROR("- " &amp; _xlfn.TEXTJOIN(CHAR(10) &amp; "- ", TRUE,_xlfn.CHOOSECOLS(_xlfn._xlws.FILTER('Service List'!A:J,ISNUMBER(SEARCH(Topic!A34,SUBSTITUTE('Service List'!F:F,"- ","")))),4)),""),"")</f>
        <v/>
      </c>
    </row>
    <row r="35" spans="2:3" ht="19">
      <c r="B35" s="5" t="str" cm="1">
        <f t="array" ref="B35">IF(ISTEXT(A35),IFERROR("- " &amp; _xlfn.TEXTJOIN(CHAR(10) &amp; "- ", TRUE,_xlfn.CHOOSECOLS(_xlfn._xlws.FILTER('Service List'!A:J,ISNUMBER(SEARCH(Topic!A35,SUBSTITUTE('Service List'!E:E,"- ","")))),4)),""),"")</f>
        <v/>
      </c>
      <c r="C35" s="5" t="str" cm="1">
        <f t="array" ref="C35">IF(ISTEXT(A35),IFERROR("- " &amp; _xlfn.TEXTJOIN(CHAR(10) &amp; "- ", TRUE,_xlfn.CHOOSECOLS(_xlfn._xlws.FILTER('Service List'!A:J,ISNUMBER(SEARCH(Topic!A35,SUBSTITUTE('Service List'!F:F,"- ","")))),4)),""),"")</f>
        <v/>
      </c>
    </row>
    <row r="36" spans="2:3" ht="19">
      <c r="B36" s="5" t="str" cm="1">
        <f t="array" ref="B36">IF(ISTEXT(A36),IFERROR("- " &amp; _xlfn.TEXTJOIN(CHAR(10) &amp; "- ", TRUE,_xlfn.CHOOSECOLS(_xlfn._xlws.FILTER('Service List'!A:J,ISNUMBER(SEARCH(Topic!A36,SUBSTITUTE('Service List'!E:E,"- ","")))),4)),""),"")</f>
        <v/>
      </c>
      <c r="C36" s="5" t="str" cm="1">
        <f t="array" ref="C36">IF(ISTEXT(A36),IFERROR("- " &amp; _xlfn.TEXTJOIN(CHAR(10) &amp; "- ", TRUE,_xlfn.CHOOSECOLS(_xlfn._xlws.FILTER('Service List'!A:J,ISNUMBER(SEARCH(Topic!A36,SUBSTITUTE('Service List'!F:F,"- ","")))),4)),""),"")</f>
        <v/>
      </c>
    </row>
    <row r="37" spans="2:3" ht="19">
      <c r="B37" s="5" t="str" cm="1">
        <f t="array" ref="B37">IF(ISTEXT(A37),IFERROR("- " &amp; _xlfn.TEXTJOIN(CHAR(10) &amp; "- ", TRUE,_xlfn.CHOOSECOLS(_xlfn._xlws.FILTER('Service List'!A:J,ISNUMBER(SEARCH(Topic!A37,SUBSTITUTE('Service List'!E:E,"- ","")))),4)),""),"")</f>
        <v/>
      </c>
      <c r="C37" s="5" t="str" cm="1">
        <f t="array" ref="C37">IF(ISTEXT(A37),IFERROR("- " &amp; _xlfn.TEXTJOIN(CHAR(10) &amp; "- ", TRUE,_xlfn.CHOOSECOLS(_xlfn._xlws.FILTER('Service List'!A:J,ISNUMBER(SEARCH(Topic!A37,SUBSTITUTE('Service List'!F:F,"- ","")))),4)),""),"")</f>
        <v/>
      </c>
    </row>
    <row r="38" spans="2:3" ht="19">
      <c r="B38" s="5" t="str" cm="1">
        <f t="array" ref="B38">IF(ISTEXT(A38),IFERROR("- " &amp; _xlfn.TEXTJOIN(CHAR(10) &amp; "- ", TRUE,_xlfn.CHOOSECOLS(_xlfn._xlws.FILTER('Service List'!A:J,ISNUMBER(SEARCH(Topic!A38,SUBSTITUTE('Service List'!E:E,"- ","")))),4)),""),"")</f>
        <v/>
      </c>
      <c r="C38" s="5" t="str" cm="1">
        <f t="array" ref="C38">IF(ISTEXT(A38),IFERROR("- " &amp; _xlfn.TEXTJOIN(CHAR(10) &amp; "- ", TRUE,_xlfn.CHOOSECOLS(_xlfn._xlws.FILTER('Service List'!A:J,ISNUMBER(SEARCH(Topic!A38,SUBSTITUTE('Service List'!F:F,"- ","")))),4)),""),"")</f>
        <v/>
      </c>
    </row>
    <row r="39" spans="2:3" ht="19">
      <c r="B39" s="5" t="str" cm="1">
        <f t="array" ref="B39">IF(ISTEXT(A39),IFERROR("- " &amp; _xlfn.TEXTJOIN(CHAR(10) &amp; "- ", TRUE,_xlfn.CHOOSECOLS(_xlfn._xlws.FILTER('Service List'!A:J,ISNUMBER(SEARCH(Topic!A39,SUBSTITUTE('Service List'!E:E,"- ","")))),4)),""),"")</f>
        <v/>
      </c>
      <c r="C39" s="5" t="str" cm="1">
        <f t="array" ref="C39">IF(ISTEXT(A39),IFERROR("- " &amp; _xlfn.TEXTJOIN(CHAR(10) &amp; "- ", TRUE,_xlfn.CHOOSECOLS(_xlfn._xlws.FILTER('Service List'!A:J,ISNUMBER(SEARCH(Topic!A39,SUBSTITUTE('Service List'!F:F,"- ","")))),4)),""),"")</f>
        <v/>
      </c>
    </row>
    <row r="40" spans="2:3" ht="19">
      <c r="B40" s="5" t="str" cm="1">
        <f t="array" ref="B40">IF(ISTEXT(A40),IFERROR("- " &amp; _xlfn.TEXTJOIN(CHAR(10) &amp; "- ", TRUE,_xlfn.CHOOSECOLS(_xlfn._xlws.FILTER('Service List'!A:J,ISNUMBER(SEARCH(Topic!A40,SUBSTITUTE('Service List'!E:E,"- ","")))),4)),""),"")</f>
        <v/>
      </c>
      <c r="C40" s="5" t="str" cm="1">
        <f t="array" ref="C40">IF(ISTEXT(A40),IFERROR("- " &amp; _xlfn.TEXTJOIN(CHAR(10) &amp; "- ", TRUE,_xlfn.CHOOSECOLS(_xlfn._xlws.FILTER('Service List'!A:J,ISNUMBER(SEARCH(Topic!A40,SUBSTITUTE('Service List'!F:F,"- ","")))),4)),""),"")</f>
        <v/>
      </c>
    </row>
    <row r="41" spans="2:3" ht="19">
      <c r="B41" s="5" t="str" cm="1">
        <f t="array" ref="B41">IF(ISTEXT(A41),IFERROR("- " &amp; _xlfn.TEXTJOIN(CHAR(10) &amp; "- ", TRUE,_xlfn.CHOOSECOLS(_xlfn._xlws.FILTER('Service List'!A:J,ISNUMBER(SEARCH(Topic!A41,SUBSTITUTE('Service List'!E:E,"- ","")))),4)),""),"")</f>
        <v/>
      </c>
      <c r="C41" s="5" t="str" cm="1">
        <f t="array" ref="C41">IF(ISTEXT(A41),IFERROR("- " &amp; _xlfn.TEXTJOIN(CHAR(10) &amp; "- ", TRUE,_xlfn.CHOOSECOLS(_xlfn._xlws.FILTER('Service List'!A:J,ISNUMBER(SEARCH(Topic!A41,SUBSTITUTE('Service List'!F:F,"- ","")))),4)),""),"")</f>
        <v/>
      </c>
    </row>
    <row r="42" spans="2:3" ht="19">
      <c r="B42" s="5" t="str" cm="1">
        <f t="array" ref="B42">IF(ISTEXT(A42),IFERROR("- " &amp; _xlfn.TEXTJOIN(CHAR(10) &amp; "- ", TRUE,_xlfn.CHOOSECOLS(_xlfn._xlws.FILTER('Service List'!A:J,ISNUMBER(SEARCH(Topic!A42,SUBSTITUTE('Service List'!E:E,"- ","")))),4)),""),"")</f>
        <v/>
      </c>
      <c r="C42" s="5" t="str" cm="1">
        <f t="array" ref="C42">IF(ISTEXT(A42),IFERROR("- " &amp; _xlfn.TEXTJOIN(CHAR(10) &amp; "- ", TRUE,_xlfn.CHOOSECOLS(_xlfn._xlws.FILTER('Service List'!A:J,ISNUMBER(SEARCH(Topic!A42,SUBSTITUTE('Service List'!F:F,"- ","")))),4)),""),"")</f>
        <v/>
      </c>
    </row>
    <row r="43" spans="2:3" ht="19">
      <c r="B43" s="5" t="str" cm="1">
        <f t="array" ref="B43">IF(ISTEXT(A43),IFERROR("- " &amp; _xlfn.TEXTJOIN(CHAR(10) &amp; "- ", TRUE,_xlfn.CHOOSECOLS(_xlfn._xlws.FILTER('Service List'!A:J,ISNUMBER(SEARCH(Topic!A43,SUBSTITUTE('Service List'!E:E,"- ","")))),4)),""),"")</f>
        <v/>
      </c>
      <c r="C43" s="5" t="str" cm="1">
        <f t="array" ref="C43">IF(ISTEXT(A43),IFERROR("- " &amp; _xlfn.TEXTJOIN(CHAR(10) &amp; "- ", TRUE,_xlfn.CHOOSECOLS(_xlfn._xlws.FILTER('Service List'!A:J,ISNUMBER(SEARCH(Topic!A43,SUBSTITUTE('Service List'!F:F,"- ","")))),4)),""),"")</f>
        <v/>
      </c>
    </row>
    <row r="44" spans="2:3" ht="19">
      <c r="B44" s="5" t="str" cm="1">
        <f t="array" ref="B44">IF(ISTEXT(A44),IFERROR("- " &amp; _xlfn.TEXTJOIN(CHAR(10) &amp; "- ", TRUE,_xlfn.CHOOSECOLS(_xlfn._xlws.FILTER('Service List'!A:J,ISNUMBER(SEARCH(Topic!A44,SUBSTITUTE('Service List'!E:E,"- ","")))),4)),""),"")</f>
        <v/>
      </c>
      <c r="C44" s="5" t="str" cm="1">
        <f t="array" ref="C44">IF(ISTEXT(A44),IFERROR("- " &amp; _xlfn.TEXTJOIN(CHAR(10) &amp; "- ", TRUE,_xlfn.CHOOSECOLS(_xlfn._xlws.FILTER('Service List'!A:J,ISNUMBER(SEARCH(Topic!A44,SUBSTITUTE('Service List'!F:F,"- ","")))),4)),""),"")</f>
        <v/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EE860-E460-D144-8334-B8B17C151D69}">
  <sheetPr>
    <tabColor rgb="FFFFC000"/>
  </sheetPr>
  <dimension ref="A1:F7"/>
  <sheetViews>
    <sheetView workbookViewId="0">
      <selection activeCell="D8" sqref="D8"/>
    </sheetView>
  </sheetViews>
  <sheetFormatPr baseColWidth="10" defaultRowHeight="18"/>
  <cols>
    <col min="1" max="1" width="16.42578125" style="9" customWidth="1"/>
    <col min="2" max="2" width="20.5703125" style="9" customWidth="1"/>
    <col min="3" max="3" width="55.85546875" style="5" customWidth="1"/>
    <col min="4" max="4" width="24.28515625" style="5" customWidth="1"/>
    <col min="5" max="6" width="51" style="5" customWidth="1"/>
    <col min="7" max="16384" width="10.7109375" style="2"/>
  </cols>
  <sheetData>
    <row r="1" spans="1:6" ht="19">
      <c r="A1" s="4" t="s">
        <v>140</v>
      </c>
      <c r="B1" s="4" t="s">
        <v>34</v>
      </c>
      <c r="C1" s="4" t="s">
        <v>6</v>
      </c>
      <c r="D1" s="4" t="s">
        <v>146</v>
      </c>
      <c r="E1" s="4" t="s">
        <v>141</v>
      </c>
      <c r="F1" s="4" t="s">
        <v>142</v>
      </c>
    </row>
    <row r="2" spans="1:6" ht="19">
      <c r="A2" s="9" t="s">
        <v>321</v>
      </c>
      <c r="B2" s="9" t="s">
        <v>143</v>
      </c>
      <c r="C2" s="8" t="s">
        <v>144</v>
      </c>
      <c r="D2" s="8" t="s">
        <v>118</v>
      </c>
      <c r="E2" s="8" t="s">
        <v>150</v>
      </c>
      <c r="F2" s="8" t="s">
        <v>153</v>
      </c>
    </row>
    <row r="3" spans="1:6" ht="19">
      <c r="B3" s="9" t="s">
        <v>147</v>
      </c>
      <c r="C3" s="8" t="s">
        <v>148</v>
      </c>
      <c r="D3" s="8" t="s">
        <v>118</v>
      </c>
      <c r="E3" s="8" t="s">
        <v>149</v>
      </c>
      <c r="F3" s="8" t="s">
        <v>154</v>
      </c>
    </row>
    <row r="6" spans="1:6" ht="19">
      <c r="A6" s="9" t="s">
        <v>314</v>
      </c>
      <c r="B6" s="9" t="s">
        <v>315</v>
      </c>
      <c r="C6" s="8" t="s">
        <v>316</v>
      </c>
      <c r="D6" s="8" t="s">
        <v>322</v>
      </c>
      <c r="E6" s="8" t="s">
        <v>317</v>
      </c>
    </row>
    <row r="7" spans="1:6" ht="19">
      <c r="B7" s="9" t="s">
        <v>318</v>
      </c>
      <c r="C7" s="8" t="s">
        <v>319</v>
      </c>
      <c r="D7" s="8" t="s">
        <v>322</v>
      </c>
      <c r="E7" s="8" t="s">
        <v>320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C61EB-391D-7B41-BC11-3F4E30C9F1EB}">
  <sheetPr>
    <tabColor theme="9" tint="0.79998168889431442"/>
  </sheetPr>
  <dimension ref="A1:H6"/>
  <sheetViews>
    <sheetView workbookViewId="0">
      <selection activeCell="G6" sqref="G6"/>
    </sheetView>
  </sheetViews>
  <sheetFormatPr baseColWidth="10" defaultRowHeight="18"/>
  <cols>
    <col min="1" max="1" width="32.7109375" style="5" customWidth="1"/>
    <col min="2" max="6" width="14.5703125" style="5" customWidth="1"/>
    <col min="7" max="7" width="25.42578125" style="5" customWidth="1"/>
    <col min="8" max="8" width="66" style="5" customWidth="1"/>
    <col min="9" max="16384" width="10.7109375" style="2"/>
  </cols>
  <sheetData>
    <row r="1" spans="1:8" s="1" customFormat="1" ht="19">
      <c r="A1" s="4" t="s">
        <v>1</v>
      </c>
      <c r="B1" s="39" t="s">
        <v>2</v>
      </c>
      <c r="C1" s="39"/>
      <c r="D1" s="39"/>
      <c r="E1" s="39"/>
      <c r="F1" s="39"/>
      <c r="G1" s="4" t="s">
        <v>5</v>
      </c>
      <c r="H1" s="4" t="s">
        <v>6</v>
      </c>
    </row>
    <row r="2" spans="1:8" ht="19">
      <c r="A2" s="5" t="s">
        <v>15</v>
      </c>
      <c r="B2" s="14" t="s">
        <v>3</v>
      </c>
      <c r="C2" s="14" t="s">
        <v>4</v>
      </c>
      <c r="G2" s="8" t="s">
        <v>11</v>
      </c>
      <c r="H2" s="8" t="s">
        <v>12</v>
      </c>
    </row>
    <row r="3" spans="1:8" ht="19">
      <c r="A3" s="5" t="s">
        <v>16</v>
      </c>
      <c r="B3" s="14" t="s">
        <v>3</v>
      </c>
      <c r="C3" s="14" t="s">
        <v>4</v>
      </c>
      <c r="G3" s="8" t="s">
        <v>11</v>
      </c>
      <c r="H3" s="8" t="s">
        <v>13</v>
      </c>
    </row>
    <row r="4" spans="1:8" ht="19">
      <c r="A4" s="5" t="s">
        <v>17</v>
      </c>
      <c r="B4" s="14" t="s">
        <v>3</v>
      </c>
      <c r="G4" s="8" t="s">
        <v>11</v>
      </c>
      <c r="H4" s="8" t="s">
        <v>14</v>
      </c>
    </row>
    <row r="5" spans="1:8" ht="71" customHeight="1">
      <c r="A5" s="5" t="s">
        <v>97</v>
      </c>
      <c r="B5" s="14" t="s">
        <v>18</v>
      </c>
      <c r="C5" s="14" t="s">
        <v>3</v>
      </c>
      <c r="D5" s="5" t="s">
        <v>213</v>
      </c>
      <c r="E5" s="5" t="s">
        <v>215</v>
      </c>
      <c r="G5" s="8" t="s">
        <v>217</v>
      </c>
      <c r="H5" s="8" t="s">
        <v>19</v>
      </c>
    </row>
    <row r="6" spans="1:8" ht="57">
      <c r="A6" s="5" t="s">
        <v>117</v>
      </c>
      <c r="B6" s="14" t="s">
        <v>18</v>
      </c>
      <c r="C6" s="5" t="s">
        <v>119</v>
      </c>
      <c r="G6" s="8" t="s">
        <v>118</v>
      </c>
      <c r="H6" s="8" t="s">
        <v>121</v>
      </c>
    </row>
  </sheetData>
  <mergeCells count="1">
    <mergeCell ref="B1:F1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657F8-B58F-134A-A856-EB4A0DF70C72}">
  <sheetPr>
    <tabColor theme="9" tint="0.79998168889431442"/>
  </sheetPr>
  <dimension ref="A1:C41"/>
  <sheetViews>
    <sheetView workbookViewId="0">
      <selection activeCell="G6" sqref="G6"/>
    </sheetView>
  </sheetViews>
  <sheetFormatPr baseColWidth="10" defaultRowHeight="18"/>
  <cols>
    <col min="1" max="1" width="15.7109375" style="2" customWidth="1"/>
    <col min="2" max="2" width="68.28515625" style="2" customWidth="1"/>
    <col min="3" max="3" width="32.140625" style="2" customWidth="1"/>
    <col min="4" max="16384" width="10.7109375" style="2"/>
  </cols>
  <sheetData>
    <row r="1" spans="1:3" ht="19">
      <c r="A1" s="3" t="s">
        <v>7</v>
      </c>
      <c r="B1" s="3" t="s">
        <v>6</v>
      </c>
      <c r="C1" s="3" t="s">
        <v>9</v>
      </c>
    </row>
    <row r="2" spans="1:3" ht="99" customHeight="1">
      <c r="A2" s="2" t="s">
        <v>3</v>
      </c>
      <c r="B2" s="7" t="s">
        <v>8</v>
      </c>
      <c r="C2" s="13" t="str" cm="1">
        <f t="array" ref="C2">SUBSTITUTE(_xlfn.REGEXREPLACE(IFERROR("-" &amp; _xlfn.TEXTJOIN("-", TRUE,_xlfn.CHOOSECOLS(_xlfn._xlws.FILTER(Metrics!A:H,Metrics!B:B=A2),1)),"") &amp; IFERROR("-" &amp; _xlfn.TEXTJOIN("-", TRUE,_xlfn.CHOOSECOLS(_xlfn._xlws.FILTER(Metrics!A:H,Metrics!C:C=A2),1)),"") &amp; IFERROR("-" &amp; _xlfn.TEXTJOIN("-", TRUE,_xlfn.CHOOSECOLS(_xlfn._xlws.FILTER(Metrics!A:H,Metrics!D:D=A2),1)),"") &amp; IFERROR("-" &amp; _xlfn.TEXTJOIN("-", TRUE,_xlfn.CHOOSECOLS(_xlfn._xlws.FILTER(Metrics!A:H,Metrics!E:E=A2),1)),"") &amp; IFERROR("-" &amp; _xlfn.TEXTJOIN("-", TRUE,_xlfn.CHOOSECOLS(_xlfn._xlws.FILTER(Metrics!A:H,Metrics!F:F=A2),1)),""),"-",CHAR(10) &amp; "-"),CHAR(10),"",1)</f>
        <v>-im.target.request
-im.target.response
-im.receive.trap
-im.receive.message</v>
      </c>
    </row>
    <row r="3" spans="1:3" ht="93" customHeight="1">
      <c r="A3" s="2" t="s">
        <v>4</v>
      </c>
      <c r="B3" s="7" t="s">
        <v>10</v>
      </c>
      <c r="C3" s="13" t="str" cm="1">
        <f t="array" ref="C3">SUBSTITUTE(_xlfn.REGEXREPLACE(IFERROR("-" &amp; _xlfn.TEXTJOIN("-", TRUE,_xlfn.CHOOSECOLS(_xlfn._xlws.FILTER(Metrics!A:H,Metrics!B:B=A3),1)),"") &amp; IFERROR("-" &amp; _xlfn.TEXTJOIN("-", TRUE,_xlfn.CHOOSECOLS(_xlfn._xlws.FILTER(Metrics!A:H,Metrics!C:C=A3),1)),"") &amp; IFERROR("-" &amp; _xlfn.TEXTJOIN("-", TRUE,_xlfn.CHOOSECOLS(_xlfn._xlws.FILTER(Metrics!A:H,Metrics!D:D=A3),1)),"") &amp; IFERROR("-" &amp; _xlfn.TEXTJOIN("-", TRUE,_xlfn.CHOOSECOLS(_xlfn._xlws.FILTER(Metrics!A:H,Metrics!E:E=A3),1)),"") &amp; IFERROR("-" &amp; _xlfn.TEXTJOIN("-", TRUE,_xlfn.CHOOSECOLS(_xlfn._xlws.FILTER(Metrics!A:H,Metrics!F:F=A3),1)),""),"-",CHAR(10) &amp; "-"),CHAR(10),"",1)</f>
        <v>-im.target.request
-im.target.response</v>
      </c>
    </row>
    <row r="4" spans="1:3" ht="72" customHeight="1">
      <c r="A4" s="2" t="s">
        <v>18</v>
      </c>
      <c r="B4" s="7" t="s">
        <v>94</v>
      </c>
      <c r="C4" s="13" t="str" cm="1">
        <f t="array" ref="C4">SUBSTITUTE(_xlfn.REGEXREPLACE(IFERROR("-" &amp; _xlfn.TEXTJOIN("-", TRUE,_xlfn.CHOOSECOLS(_xlfn._xlws.FILTER(Metrics!A:H,Metrics!B:B=A4),1)),"") &amp; IFERROR("-" &amp; _xlfn.TEXTJOIN("-", TRUE,_xlfn.CHOOSECOLS(_xlfn._xlws.FILTER(Metrics!A:H,Metrics!C:C=A4),1)),"") &amp; IFERROR("-" &amp; _xlfn.TEXTJOIN("-", TRUE,_xlfn.CHOOSECOLS(_xlfn._xlws.FILTER(Metrics!A:H,Metrics!D:D=A4),1)),"") &amp; IFERROR("-" &amp; _xlfn.TEXTJOIN("-", TRUE,_xlfn.CHOOSECOLS(_xlfn._xlws.FILTER(Metrics!A:H,Metrics!E:E=A4),1)),"") &amp; IFERROR("-" &amp; _xlfn.TEXTJOIN("-", TRUE,_xlfn.CHOOSECOLS(_xlfn._xlws.FILTER(Metrics!A:H,Metrics!F:F=A4),1)),""),"-",CHAR(10) &amp; "-"),CHAR(10),"",1)</f>
        <v>-im.receive.message
-im.object.instance</v>
      </c>
    </row>
    <row r="5" spans="1:3" ht="75" customHeight="1">
      <c r="A5" s="2" t="s">
        <v>119</v>
      </c>
      <c r="B5" s="7" t="s">
        <v>120</v>
      </c>
      <c r="C5" s="13" t="str" cm="1">
        <f t="array" ref="C5">SUBSTITUTE(_xlfn.REGEXREPLACE(IFERROR("-" &amp; _xlfn.TEXTJOIN("-", TRUE,_xlfn.CHOOSECOLS(_xlfn._xlws.FILTER(Metrics!A:H,Metrics!B:B=A5),1)),"") &amp; IFERROR("-" &amp; _xlfn.TEXTJOIN("-", TRUE,_xlfn.CHOOSECOLS(_xlfn._xlws.FILTER(Metrics!A:H,Metrics!C:C=A5),1)),"") &amp; IFERROR("-" &amp; _xlfn.TEXTJOIN("-", TRUE,_xlfn.CHOOSECOLS(_xlfn._xlws.FILTER(Metrics!A:H,Metrics!D:D=A5),1)),"") &amp; IFERROR("-" &amp; _xlfn.TEXTJOIN("-", TRUE,_xlfn.CHOOSECOLS(_xlfn._xlws.FILTER(Metrics!A:H,Metrics!E:E=A5),1)),"") &amp; IFERROR("-" &amp; _xlfn.TEXTJOIN("-", TRUE,_xlfn.CHOOSECOLS(_xlfn._xlws.FILTER(Metrics!A:H,Metrics!F:F=A5),1)),""),"-",CHAR(10) &amp; "-"),CHAR(10),"",1)</f>
        <v>-im.object.instance</v>
      </c>
    </row>
    <row r="6" spans="1:3" ht="43" customHeight="1">
      <c r="A6" s="2" t="s">
        <v>213</v>
      </c>
      <c r="B6" s="7" t="s">
        <v>214</v>
      </c>
      <c r="C6" s="13" t="str" cm="1">
        <f t="array" ref="C6">SUBSTITUTE(_xlfn.REGEXREPLACE(IFERROR("-" &amp; _xlfn.TEXTJOIN("-", TRUE,_xlfn.CHOOSECOLS(_xlfn._xlws.FILTER(Metrics!A:H,Metrics!B:B=A6),1)),"") &amp; IFERROR("-" &amp; _xlfn.TEXTJOIN("-", TRUE,_xlfn.CHOOSECOLS(_xlfn._xlws.FILTER(Metrics!A:H,Metrics!C:C=A6),1)),"") &amp; IFERROR("-" &amp; _xlfn.TEXTJOIN("-", TRUE,_xlfn.CHOOSECOLS(_xlfn._xlws.FILTER(Metrics!A:H,Metrics!D:D=A6),1)),"") &amp; IFERROR("-" &amp; _xlfn.TEXTJOIN("-", TRUE,_xlfn.CHOOSECOLS(_xlfn._xlws.FILTER(Metrics!A:H,Metrics!E:E=A6),1)),"") &amp; IFERROR("-" &amp; _xlfn.TEXTJOIN("-", TRUE,_xlfn.CHOOSECOLS(_xlfn._xlws.FILTER(Metrics!A:H,Metrics!F:F=A6),1)),""),"-",CHAR(10) &amp; "-"),CHAR(10),"",1)</f>
        <v>-im.receive.message</v>
      </c>
    </row>
    <row r="7" spans="1:3" ht="51" customHeight="1">
      <c r="A7" s="2" t="s">
        <v>215</v>
      </c>
      <c r="B7" s="7" t="s">
        <v>216</v>
      </c>
      <c r="C7" s="13" t="str" cm="1">
        <f t="array" ref="C7">SUBSTITUTE(_xlfn.REGEXREPLACE(IFERROR("-" &amp; _xlfn.TEXTJOIN("-", TRUE,_xlfn.CHOOSECOLS(_xlfn._xlws.FILTER(Metrics!A:H,Metrics!B:B=A7),1)),"") &amp; IFERROR("-" &amp; _xlfn.TEXTJOIN("-", TRUE,_xlfn.CHOOSECOLS(_xlfn._xlws.FILTER(Metrics!A:H,Metrics!C:C=A7),1)),"") &amp; IFERROR("-" &amp; _xlfn.TEXTJOIN("-", TRUE,_xlfn.CHOOSECOLS(_xlfn._xlws.FILTER(Metrics!A:H,Metrics!D:D=A7),1)),"") &amp; IFERROR("-" &amp; _xlfn.TEXTJOIN("-", TRUE,_xlfn.CHOOSECOLS(_xlfn._xlws.FILTER(Metrics!A:H,Metrics!E:E=A7),1)),"") &amp; IFERROR("-" &amp; _xlfn.TEXTJOIN("-", TRUE,_xlfn.CHOOSECOLS(_xlfn._xlws.FILTER(Metrics!A:H,Metrics!F:F=A7),1)),""),"-",CHAR(10) &amp; "-"),CHAR(10),"",1)</f>
        <v>-im.receive.message</v>
      </c>
    </row>
    <row r="8" spans="1:3">
      <c r="C8" s="13"/>
    </row>
    <row r="9" spans="1:3">
      <c r="C9" s="13"/>
    </row>
    <row r="10" spans="1:3">
      <c r="C10" s="13"/>
    </row>
    <row r="11" spans="1:3">
      <c r="C11" s="13"/>
    </row>
    <row r="12" spans="1:3">
      <c r="C12" s="13"/>
    </row>
    <row r="13" spans="1:3">
      <c r="C13" s="13"/>
    </row>
    <row r="14" spans="1:3">
      <c r="C14" s="13"/>
    </row>
    <row r="15" spans="1:3">
      <c r="C15" s="13"/>
    </row>
    <row r="16" spans="1:3">
      <c r="C16" s="13"/>
    </row>
    <row r="17" spans="3:3">
      <c r="C17" s="13"/>
    </row>
    <row r="18" spans="3:3">
      <c r="C18" s="13"/>
    </row>
    <row r="19" spans="3:3">
      <c r="C19" s="13"/>
    </row>
    <row r="20" spans="3:3">
      <c r="C20" s="13"/>
    </row>
    <row r="21" spans="3:3">
      <c r="C21" s="13"/>
    </row>
    <row r="22" spans="3:3">
      <c r="C22" s="13"/>
    </row>
    <row r="23" spans="3:3">
      <c r="C23" s="13"/>
    </row>
    <row r="24" spans="3:3">
      <c r="C24" s="13"/>
    </row>
    <row r="25" spans="3:3">
      <c r="C25" s="13"/>
    </row>
    <row r="26" spans="3:3">
      <c r="C26" s="13"/>
    </row>
    <row r="27" spans="3:3">
      <c r="C27" s="13"/>
    </row>
    <row r="28" spans="3:3">
      <c r="C28" s="13"/>
    </row>
    <row r="29" spans="3:3">
      <c r="C29" s="13"/>
    </row>
    <row r="30" spans="3:3">
      <c r="C30" s="13"/>
    </row>
    <row r="31" spans="3:3">
      <c r="C31" s="13"/>
    </row>
    <row r="32" spans="3:3">
      <c r="C32" s="13"/>
    </row>
    <row r="33" spans="3:3">
      <c r="C33" s="13"/>
    </row>
    <row r="34" spans="3:3">
      <c r="C34" s="13"/>
    </row>
    <row r="35" spans="3:3">
      <c r="C35" s="13"/>
    </row>
    <row r="36" spans="3:3">
      <c r="C36" s="13"/>
    </row>
    <row r="37" spans="3:3">
      <c r="C37" s="13"/>
    </row>
    <row r="38" spans="3:3">
      <c r="C38" s="13"/>
    </row>
    <row r="39" spans="3:3">
      <c r="C39" s="13"/>
    </row>
    <row r="40" spans="3:3">
      <c r="C40" s="13"/>
    </row>
    <row r="41" spans="3:3">
      <c r="C41" s="13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E1DCC-3907-7E48-A6C1-3FD6C64A7853}">
  <sheetPr>
    <tabColor theme="9" tint="-0.249977111117893"/>
  </sheetPr>
  <dimension ref="A2:C7"/>
  <sheetViews>
    <sheetView workbookViewId="0">
      <selection activeCell="A3" sqref="A3"/>
    </sheetView>
  </sheetViews>
  <sheetFormatPr baseColWidth="10" defaultRowHeight="18"/>
  <cols>
    <col min="1" max="1" width="3.5703125" style="17" customWidth="1"/>
    <col min="2" max="2" width="3.5703125" style="18" customWidth="1"/>
    <col min="3" max="7" width="3.5703125" customWidth="1"/>
  </cols>
  <sheetData>
    <row r="2" spans="1:3">
      <c r="A2" s="17" t="s">
        <v>207</v>
      </c>
    </row>
    <row r="3" spans="1:3">
      <c r="B3" s="18" t="s">
        <v>202</v>
      </c>
    </row>
    <row r="4" spans="1:3">
      <c r="C4" s="16" t="s">
        <v>203</v>
      </c>
    </row>
    <row r="5" spans="1:3">
      <c r="A5" s="17" t="s">
        <v>204</v>
      </c>
    </row>
    <row r="6" spans="1:3">
      <c r="B6" s="18" t="s">
        <v>205</v>
      </c>
    </row>
    <row r="7" spans="1:3">
      <c r="C7" s="16" t="s">
        <v>206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5</vt:i4>
      </vt:variant>
    </vt:vector>
  </HeadingPairs>
  <TitlesOfParts>
    <vt:vector size="17" baseType="lpstr">
      <vt:lpstr>Library</vt:lpstr>
      <vt:lpstr>Service Requirement</vt:lpstr>
      <vt:lpstr>Service List</vt:lpstr>
      <vt:lpstr>API Mapping</vt:lpstr>
      <vt:lpstr>Network</vt:lpstr>
      <vt:lpstr>Node</vt:lpstr>
      <vt:lpstr>Container</vt:lpstr>
      <vt:lpstr>Topic</vt:lpstr>
      <vt:lpstr>Event</vt:lpstr>
      <vt:lpstr>Metrics</vt:lpstr>
      <vt:lpstr>Metrics Tags</vt:lpstr>
      <vt:lpstr>BatchJob</vt:lpstr>
      <vt:lpstr>abstract</vt:lpstr>
      <vt:lpstr>class</vt:lpstr>
      <vt:lpstr>Container!Print_Area</vt:lpstr>
      <vt:lpstr>Tag_protocol</vt:lpstr>
      <vt:lpstr>Tag_status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조규석</dc:creator>
  <cp:lastModifiedBy>조규석</cp:lastModifiedBy>
  <dcterms:created xsi:type="dcterms:W3CDTF">2025-06-17T01:25:42Z</dcterms:created>
  <dcterms:modified xsi:type="dcterms:W3CDTF">2025-08-22T02:50:08Z</dcterms:modified>
</cp:coreProperties>
</file>